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athogen_presence" sheetId="2" r:id="rId2"/>
    <sheet name="individual_summary" sheetId="3" r:id="rId3"/>
    <sheet name="pie_summary" sheetId="4" r:id="rId4"/>
    <sheet name="old_input_check" sheetId="5" r:id="rId5"/>
  </sheets>
  <definedNames>
    <definedName name="_xlnm._FilterDatabase" localSheetId="2" hidden="1">individual_summary!$A$1:$H$113</definedName>
    <definedName name="_xlnm._FilterDatabase" localSheetId="4" hidden="1">old_input_check!$A$1:$E$8</definedName>
    <definedName name="_xlnm._FilterDatabase" localSheetId="1" hidden="1">pathogen_presence!$A$1:$BX$113</definedName>
    <definedName name="_xlnm._FilterDatabase" localSheetId="3" hidden="1">pie_summary!$A$1:$D$8</definedName>
  </definedNames>
  <calcPr calcId="124519" fullCalcOnLoad="1"/>
</workbook>
</file>

<file path=xl/sharedStrings.xml><?xml version="1.0" encoding="utf-8"?>
<sst xmlns="http://schemas.openxmlformats.org/spreadsheetml/2006/main" count="910" uniqueCount="359">
  <si>
    <t>Item</t>
  </si>
  <si>
    <t>Description</t>
  </si>
  <si>
    <t>Analysis population</t>
  </si>
  <si>
    <t>112 fish with exactly eight organ libraries each (896 libraries total).</t>
  </si>
  <si>
    <t>Pathogen detection</t>
  </si>
  <si>
    <t>A pathogen is present in a fish when its summed RPM across the eight organs is greater than zero.</t>
  </si>
  <si>
    <t>Pathogen count</t>
  </si>
  <si>
    <t>Number of distinct pathogen rows detected per fish among the 75 annotated pathogens.</t>
  </si>
  <si>
    <t>Categories</t>
  </si>
  <si>
    <t>pathogen 0, pathogen 1, pathogen 2, pathogen 3, pathogen 4, pathogen 5, and pathogen &gt; 5.</t>
  </si>
  <si>
    <t>Old-input audit</t>
  </si>
  <si>
    <t>The old workbook contained conflicting summaries. The recalculated values agree with Sheet2 and the published reference figure, not with plotraw for pathogen 1 and pathogen 3.</t>
  </si>
  <si>
    <t>individual_id</t>
  </si>
  <si>
    <t>Wenzhou pacific spadenose shark astrovirus 2</t>
  </si>
  <si>
    <t>Nanhai astrovirus LZMB</t>
  </si>
  <si>
    <t>Cynoglossus gracilis hantavirus</t>
  </si>
  <si>
    <t>Telatrygon zugei hepacivirus</t>
  </si>
  <si>
    <t>Odontamblyopus rubicundus hepacivirus</t>
  </si>
  <si>
    <t>Johnius belangerii hepacivirus</t>
  </si>
  <si>
    <t>Bombay duck fish bornavirus</t>
  </si>
  <si>
    <t>Paramonacanthus sulcatus filovirus</t>
  </si>
  <si>
    <t>Nanhai filovirus 1</t>
  </si>
  <si>
    <t>Nanhai filovirus 2</t>
  </si>
  <si>
    <t>Nanhai filovirus 3</t>
  </si>
  <si>
    <t>Nanhai rhabdovirus 1</t>
  </si>
  <si>
    <t>Nanhai paramyxovirus 1</t>
  </si>
  <si>
    <t>Nanhai paramyxovirus 2</t>
  </si>
  <si>
    <t>Psenopsis anomala artervirus</t>
  </si>
  <si>
    <t>Nanhai amnoonvirus 1</t>
  </si>
  <si>
    <t>Arius arius calicivirus</t>
  </si>
  <si>
    <t>Bregmaceros mcclellandi picornavirus</t>
  </si>
  <si>
    <t>Thryssa dussumieri picornavirus</t>
  </si>
  <si>
    <t>Leiognathus ruconius picornavirus</t>
  </si>
  <si>
    <t>Polydactylus sextarius picornavirus</t>
  </si>
  <si>
    <t>Psenopsis anomala picornavirus</t>
  </si>
  <si>
    <t>Gymnothorax reevesii picornavirus</t>
  </si>
  <si>
    <t>Asian seabass Nervous Necrosis Virus</t>
  </si>
  <si>
    <t>Micropterus salmoides reovirus</t>
  </si>
  <si>
    <t>Wenzhou pacific spadenose shark reovirus 2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</si>
  <si>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</si>
  <si>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</si>
  <si>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</si>
  <si>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</si>
  <si>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</si>
  <si>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</si>
  <si>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Osteomugil cunnesius hepadna-like virus</t>
  </si>
  <si>
    <t>Nanhai hepadna-like virus 1</t>
  </si>
  <si>
    <t>Nanhai circo-like virus 2</t>
  </si>
  <si>
    <t>Cynoglossus gracilis herpes-like virus</t>
  </si>
  <si>
    <t>Nanhai parvovirus LTY1</t>
  </si>
  <si>
    <t>Marble sleepy goby iridovirus</t>
  </si>
  <si>
    <t>Nanhai papillomavirus ZBTTT</t>
  </si>
  <si>
    <t>Nanhai papillomavirus HM</t>
  </si>
  <si>
    <t>Nanhai retrovirus 1</t>
  </si>
  <si>
    <t>Nanhai retrovirus 2</t>
  </si>
  <si>
    <t>Clostridium sp. SQHN</t>
  </si>
  <si>
    <t>Clostridium sp. Y</t>
  </si>
  <si>
    <t>Aliivibrio fischeri</t>
  </si>
  <si>
    <t>Photobacterium sp.</t>
  </si>
  <si>
    <t>Photobacterium damselae</t>
  </si>
  <si>
    <t>Photobacterium damselae QLXSD</t>
  </si>
  <si>
    <t>Photobacterium swingsii</t>
  </si>
  <si>
    <t>Vibrio sp. Y</t>
  </si>
  <si>
    <t>Vibrio ponticus</t>
  </si>
  <si>
    <t>Acinetobacter johnsonii</t>
  </si>
  <si>
    <t>Pseudomonas aeruginosa</t>
  </si>
  <si>
    <t>Besnoitia sp. HKL</t>
  </si>
  <si>
    <t>Cystoisospora sp. DSLT-2</t>
  </si>
  <si>
    <t>Cystoisospora sp. DSLT-4</t>
  </si>
  <si>
    <t>Sarcocystidae sp. SZMB</t>
  </si>
  <si>
    <t>Sarcocystidae sp. DSLT</t>
  </si>
  <si>
    <t>Toxoplasma sp. LZY</t>
  </si>
  <si>
    <t>Eimeriorina sp. RWXLT</t>
  </si>
  <si>
    <t>Eimeria sp. SZMB</t>
  </si>
  <si>
    <t>Glugea plecoglossi</t>
  </si>
  <si>
    <t>Pseudoloma sp. FJ</t>
  </si>
  <si>
    <t>Toxocaridae sp. Z</t>
  </si>
  <si>
    <t>Toxocara sp. CTSZ</t>
  </si>
  <si>
    <t>Toxocara sp. HBSXST</t>
  </si>
  <si>
    <t>Toxocara sp. LYS</t>
  </si>
  <si>
    <t>Strigeidida sp. FJ</t>
  </si>
  <si>
    <t>Taeniidae sp. HBSZ</t>
  </si>
  <si>
    <t>Taeniidae sp. QLXSDD</t>
  </si>
  <si>
    <t>Taeniidae sp. LZY</t>
  </si>
  <si>
    <t>Opisthorchiidae sp. SZMB</t>
  </si>
  <si>
    <t>Hydatigera sp. SDYY</t>
  </si>
  <si>
    <t>Lepeophtheirus sp. SQHN</t>
  </si>
  <si>
    <t>Caligus sp. RWXLT</t>
  </si>
  <si>
    <t>YS-HM-1</t>
  </si>
  <si>
    <t>YS-HM-2</t>
  </si>
  <si>
    <t>YS-HM-3</t>
  </si>
  <si>
    <t>YS-HM-4</t>
  </si>
  <si>
    <t>YS-CTSZ-1</t>
  </si>
  <si>
    <t>YS-CTSZ-2</t>
  </si>
  <si>
    <t>YS-CTSZ-3</t>
  </si>
  <si>
    <t>YS-HBSZ-1</t>
  </si>
  <si>
    <t>YS-HBSZ-2</t>
  </si>
  <si>
    <t>YS-HBSZ-3</t>
  </si>
  <si>
    <t>YS-LTY-1</t>
  </si>
  <si>
    <t>YS-LTY-2</t>
  </si>
  <si>
    <t>YS-LTY-3</t>
  </si>
  <si>
    <t>YS-LZMB-1</t>
  </si>
  <si>
    <t>YS-LZMB-2</t>
  </si>
  <si>
    <t>YS-LZMB-3</t>
  </si>
  <si>
    <t>YS-SZMB-1</t>
  </si>
  <si>
    <t>YS-LYS-3</t>
  </si>
  <si>
    <t>YS-LBYKF-1</t>
  </si>
  <si>
    <t>YS-LBYKF-2</t>
  </si>
  <si>
    <t>YS-LBYKF-3</t>
  </si>
  <si>
    <t>YS-BJ-1</t>
  </si>
  <si>
    <t>YS-BJ-2</t>
  </si>
  <si>
    <t>YS-BJ-3</t>
  </si>
  <si>
    <t>YS-CBLT-1</t>
  </si>
  <si>
    <t>YS-CBLT-2</t>
  </si>
  <si>
    <t>YS-CBLT-3</t>
  </si>
  <si>
    <t>YS-CHLT-1</t>
  </si>
  <si>
    <t>YS-CHLT-2</t>
  </si>
  <si>
    <t>YS-CHLT-3</t>
  </si>
  <si>
    <t>YS-DHY-1</t>
  </si>
  <si>
    <t>YS-DHY-2</t>
  </si>
  <si>
    <t>YS-DSLT-1</t>
  </si>
  <si>
    <t>YS-DSLT-2</t>
  </si>
  <si>
    <t>YS-DSLT-3</t>
  </si>
  <si>
    <t>YS-HJ-1</t>
  </si>
  <si>
    <t>YS-HJ-2</t>
  </si>
  <si>
    <t>YS-HJ-3</t>
  </si>
  <si>
    <t>YS-HJ-4</t>
  </si>
  <si>
    <t>YS-HJ-5</t>
  </si>
  <si>
    <t>YS-HJ-6</t>
  </si>
  <si>
    <t>YS-HKL-1</t>
  </si>
  <si>
    <t>YS-HKL-2</t>
  </si>
  <si>
    <t>YS-HKL-3</t>
  </si>
  <si>
    <t>YS-HSLT-1</t>
  </si>
  <si>
    <t>YS-HSLT-2</t>
  </si>
  <si>
    <t>YS-HSLT-3</t>
  </si>
  <si>
    <t>YS-JSXSD-1</t>
  </si>
  <si>
    <t>YS-JSXSD-2</t>
  </si>
  <si>
    <t>YS-JSXSD-3</t>
  </si>
  <si>
    <t>YS-KSCDXGY-1</t>
  </si>
  <si>
    <t>YS-KSCDXGY-2</t>
  </si>
  <si>
    <t>YS-KSCDXGY-3</t>
  </si>
  <si>
    <t>YS-QLXSD-1</t>
  </si>
  <si>
    <t>YS-QLXSD-2</t>
  </si>
  <si>
    <t>YS-QLXSD-3</t>
  </si>
  <si>
    <t>YS-BGY-1</t>
  </si>
  <si>
    <t>YS-BGY-2</t>
  </si>
  <si>
    <t>YS-BGY-3</t>
  </si>
  <si>
    <t>YS-JXY-1</t>
  </si>
  <si>
    <t>YS-JXY-2</t>
  </si>
  <si>
    <t>YS-JXY-3</t>
  </si>
  <si>
    <t>YS-LY-2</t>
  </si>
  <si>
    <t>YS-LY-3</t>
  </si>
  <si>
    <t>YS-LZY-1</t>
  </si>
  <si>
    <t>YS-LZY-2</t>
  </si>
  <si>
    <t>YS-LZY-3</t>
  </si>
  <si>
    <t>YS-PSJGY-1</t>
  </si>
  <si>
    <t>YS-PSJGY-2</t>
  </si>
  <si>
    <t>YS-PSJGY-3</t>
  </si>
  <si>
    <t>YS-SLS-2</t>
  </si>
  <si>
    <t>YS-SLS-3</t>
  </si>
  <si>
    <t>YS-MSXX-1</t>
  </si>
  <si>
    <t>YS-MSXX-2</t>
  </si>
  <si>
    <t>YS-MSXX-3</t>
  </si>
  <si>
    <t>YS-LYXHY-1</t>
  </si>
  <si>
    <t>YS-LYXHY-2</t>
  </si>
  <si>
    <t>YS-LYXHY-3</t>
  </si>
  <si>
    <t>YS-Z-1</t>
  </si>
  <si>
    <t>YS-Z-2</t>
  </si>
  <si>
    <t>YS-Z-3</t>
  </si>
  <si>
    <t>YS-ZY-1</t>
  </si>
  <si>
    <t>YS-QXDDY-1</t>
  </si>
  <si>
    <t>YS-QXDDY-2</t>
  </si>
  <si>
    <t>YS-QXDDY-3</t>
  </si>
  <si>
    <t>YS-DLLY-1</t>
  </si>
  <si>
    <t>YS-Y-1</t>
  </si>
  <si>
    <t>YS-Y-2</t>
  </si>
  <si>
    <t>YS-DZTT-1</t>
  </si>
  <si>
    <t>YS-CC-1</t>
  </si>
  <si>
    <t>YS-CC-2</t>
  </si>
  <si>
    <t>YS-CC-3</t>
  </si>
  <si>
    <t>YS-SDYY-1</t>
  </si>
  <si>
    <t>YS-SDYY-2</t>
  </si>
  <si>
    <t>YS-SDYY-3</t>
  </si>
  <si>
    <t>YS-YC-3</t>
  </si>
  <si>
    <t>YS-SQHN-1</t>
  </si>
  <si>
    <t>YS-SQHN-2</t>
  </si>
  <si>
    <t>YS-SQHN-3</t>
  </si>
  <si>
    <t>YS-RBJXY-1</t>
  </si>
  <si>
    <t>YS-RBJXY-2</t>
  </si>
  <si>
    <t>YS-RBJXY-3</t>
  </si>
  <si>
    <t>YS-RWXLT-1</t>
  </si>
  <si>
    <t>YS-RWXLT-2</t>
  </si>
  <si>
    <t>YS-RWXLT-3</t>
  </si>
  <si>
    <t>YS-ZBTTT-1</t>
  </si>
  <si>
    <t>YS-ZBTTT-2</t>
  </si>
  <si>
    <t>YS-ZBTTT-3</t>
  </si>
  <si>
    <t>YS-JTZCS-1</t>
  </si>
  <si>
    <t>YS-JZH-1</t>
  </si>
  <si>
    <t>YS-JZH-2</t>
  </si>
  <si>
    <t>YS-JZH-3</t>
  </si>
  <si>
    <t>class</t>
  </si>
  <si>
    <t>order</t>
  </si>
  <si>
    <t>family</t>
  </si>
  <si>
    <t>species</t>
  </si>
  <si>
    <t>species_abbreviation</t>
  </si>
  <si>
    <t>pathogen_count</t>
  </si>
  <si>
    <t>pathogen_count_category</t>
  </si>
  <si>
    <t>Actinopteri</t>
  </si>
  <si>
    <t>Anguilliformes</t>
  </si>
  <si>
    <t>Muraenidae</t>
  </si>
  <si>
    <t>Gymnothorax reevesii</t>
  </si>
  <si>
    <t>Gy. reevesii</t>
  </si>
  <si>
    <t>Aulopiformes</t>
  </si>
  <si>
    <t>Synodontidae</t>
  </si>
  <si>
    <t>Saurida elongata</t>
  </si>
  <si>
    <t>Sa. elongata</t>
  </si>
  <si>
    <t>Saurida undosquamis</t>
  </si>
  <si>
    <t>Sa. undosquamis</t>
  </si>
  <si>
    <t>Harpadon nehereus</t>
  </si>
  <si>
    <t>Ha. nehereus</t>
  </si>
  <si>
    <t>Carangaria incertae sedis</t>
  </si>
  <si>
    <t>Polynemidae</t>
  </si>
  <si>
    <t>Polydactylus sextarius</t>
  </si>
  <si>
    <t>Po. sextarius</t>
  </si>
  <si>
    <t>Eleutheronema tetradactylum</t>
  </si>
  <si>
    <t>El. tetradactylum</t>
  </si>
  <si>
    <t>Carangiformes</t>
  </si>
  <si>
    <t>Carangidae</t>
  </si>
  <si>
    <t>Decapterus maruadsi</t>
  </si>
  <si>
    <t>De. maruadsi</t>
  </si>
  <si>
    <t>Chaetodontiformes</t>
  </si>
  <si>
    <t>Leiognathidae</t>
  </si>
  <si>
    <t>Deveximentum ruconius</t>
  </si>
  <si>
    <t>De. ruconius</t>
  </si>
  <si>
    <t>Clupeiformes</t>
  </si>
  <si>
    <t>Clupeidae</t>
  </si>
  <si>
    <t>Nematalosa japonica</t>
  </si>
  <si>
    <t>Ne. japonica</t>
  </si>
  <si>
    <t>Engraulidae</t>
  </si>
  <si>
    <t>Thryssa kammalensis</t>
  </si>
  <si>
    <t>Th. kammalensis</t>
  </si>
  <si>
    <t>Thryssa setirostris</t>
  </si>
  <si>
    <t>Th. setirostris</t>
  </si>
  <si>
    <t>Pristigasteridae</t>
  </si>
  <si>
    <t>Ilisha elongata</t>
  </si>
  <si>
    <t>Il. elongata</t>
  </si>
  <si>
    <t>Setipinna tenuifilis</t>
  </si>
  <si>
    <t>Se. tenuifilis</t>
  </si>
  <si>
    <t>Ilisha melastoma</t>
  </si>
  <si>
    <t>Il. melastoma</t>
  </si>
  <si>
    <t>Thryssa hamiltonii</t>
  </si>
  <si>
    <t>Th. hamiltonii</t>
  </si>
  <si>
    <t>Sardinella lemuru</t>
  </si>
  <si>
    <t>Sa. lemuru</t>
  </si>
  <si>
    <t>Encrasicholina punctifer</t>
  </si>
  <si>
    <t>En. punctifer</t>
  </si>
  <si>
    <t>Encrasicholina heteroloba</t>
  </si>
  <si>
    <t>En. heteroloba</t>
  </si>
  <si>
    <t>Sardinella fijiensis</t>
  </si>
  <si>
    <t>Sa. fijiensis</t>
  </si>
  <si>
    <t>Sardinella melanura</t>
  </si>
  <si>
    <t>Sa. melanura</t>
  </si>
  <si>
    <t>Eupercaria incertae sedis</t>
  </si>
  <si>
    <t>Sciaenidae</t>
  </si>
  <si>
    <t>Pennahia macrocephala</t>
  </si>
  <si>
    <t>Pe. macrocephala</t>
  </si>
  <si>
    <t>Scatophagidae</t>
  </si>
  <si>
    <t>Scatophagus argus</t>
  </si>
  <si>
    <t>Sc. argus</t>
  </si>
  <si>
    <t>Larimichthys crocea</t>
  </si>
  <si>
    <t>La. crocea</t>
  </si>
  <si>
    <t>Siganidae</t>
  </si>
  <si>
    <t>Siganus canaliculatus</t>
  </si>
  <si>
    <t>Si. canaliculatus</t>
  </si>
  <si>
    <t>Siganus fuscescens</t>
  </si>
  <si>
    <t>Si. fuscescens</t>
  </si>
  <si>
    <t>Johnius belangerii</t>
  </si>
  <si>
    <t>Jo. belangerii</t>
  </si>
  <si>
    <t>Sillaginidae</t>
  </si>
  <si>
    <t>Sillago sihama</t>
  </si>
  <si>
    <t>Si. sihama</t>
  </si>
  <si>
    <t>Gadiformes</t>
  </si>
  <si>
    <t>Bregmacerotidae</t>
  </si>
  <si>
    <t>Bregmaceros mcclellandi</t>
  </si>
  <si>
    <t>Br. mcclellandi</t>
  </si>
  <si>
    <t>Gobiiformes</t>
  </si>
  <si>
    <t>Gobiidae</t>
  </si>
  <si>
    <t>Odontamblyopus rubicundus</t>
  </si>
  <si>
    <t>Od. rubicundus</t>
  </si>
  <si>
    <t>Mugiliformes</t>
  </si>
  <si>
    <t>Mugilidae</t>
  </si>
  <si>
    <t>Moolgarda cunnesius</t>
  </si>
  <si>
    <t>Mo. cunnesius</t>
  </si>
  <si>
    <t>Chelon carinatus</t>
  </si>
  <si>
    <t>Ch. carinatus</t>
  </si>
  <si>
    <t>Myctophiformes</t>
  </si>
  <si>
    <t>Myctophidae</t>
  </si>
  <si>
    <t>Benthosema pterotum</t>
  </si>
  <si>
    <t>Be. pterotum</t>
  </si>
  <si>
    <t>Perciformes</t>
  </si>
  <si>
    <t>Platycephalidae</t>
  </si>
  <si>
    <t>Kumococius rodericensis</t>
  </si>
  <si>
    <t>Ku. rodericensis</t>
  </si>
  <si>
    <t>Inegocia japonica</t>
  </si>
  <si>
    <t>In. japonica</t>
  </si>
  <si>
    <t>Pleuronectiformes</t>
  </si>
  <si>
    <t>Soleidae</t>
  </si>
  <si>
    <t>Zebrias zebrinus</t>
  </si>
  <si>
    <t>Ze. zebrinus</t>
  </si>
  <si>
    <t>Scombriformes</t>
  </si>
  <si>
    <t>Centrolophidae</t>
  </si>
  <si>
    <t>Psenopsis anomala</t>
  </si>
  <si>
    <t>Ps. anomala</t>
  </si>
  <si>
    <t>Trichiuridae</t>
  </si>
  <si>
    <t>Lepturacanthus savala</t>
  </si>
  <si>
    <t>Le. savala</t>
  </si>
  <si>
    <t>Stromateidae</t>
  </si>
  <si>
    <t>Pampus argenteus</t>
  </si>
  <si>
    <t>Pa. argenteus</t>
  </si>
  <si>
    <t>Siluriformes</t>
  </si>
  <si>
    <t>Ariidae</t>
  </si>
  <si>
    <t>Arius arius</t>
  </si>
  <si>
    <t>Ar. arius</t>
  </si>
  <si>
    <t>Spariformes</t>
  </si>
  <si>
    <t>Nemipteridae</t>
  </si>
  <si>
    <t>Nemipterus japonicus</t>
  </si>
  <si>
    <t>Ne. japonicus</t>
  </si>
  <si>
    <t>Tetraodontiformes</t>
  </si>
  <si>
    <t>Monacanthidae</t>
  </si>
  <si>
    <t>Paramonacanthus sulcatus</t>
  </si>
  <si>
    <t>Pa. sulcatus</t>
  </si>
  <si>
    <t>Tetraodontidae</t>
  </si>
  <si>
    <t>Lagocephalus spadiceus</t>
  </si>
  <si>
    <t>La. spadiceus</t>
  </si>
  <si>
    <t>Chondrichthyes</t>
  </si>
  <si>
    <t>Carcharhiniformes</t>
  </si>
  <si>
    <t>Carcharhinidae</t>
  </si>
  <si>
    <t>Scoliodon macrorhynchos</t>
  </si>
  <si>
    <t>Sc. macrorhynchos</t>
  </si>
  <si>
    <t>Myliobatiformes</t>
  </si>
  <si>
    <t>Dasyatidae</t>
  </si>
  <si>
    <t>Telatrygon zugei</t>
  </si>
  <si>
    <t>Te. zugei</t>
  </si>
  <si>
    <t>category</t>
  </si>
  <si>
    <t>fish_count</t>
  </si>
  <si>
    <t>proportion</t>
  </si>
  <si>
    <t>percentage_label</t>
  </si>
  <si>
    <t>pathogen 0</t>
  </si>
  <si>
    <t>pathogen 1</t>
  </si>
  <si>
    <t>pathogen 2</t>
  </si>
  <si>
    <t>pathogen 3</t>
  </si>
  <si>
    <t>pathogen 4</t>
  </si>
  <si>
    <t>pathogen 5</t>
  </si>
  <si>
    <t>pathogen &gt; 5</t>
  </si>
  <si>
    <t>old_Sheet2</t>
  </si>
  <si>
    <t>old_plotraw</t>
  </si>
  <si>
    <t>recalculated</t>
  </si>
  <si>
    <t>status</t>
  </si>
  <si>
    <t>matches Sheet2/reference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</si>
</sst>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1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76" width="18.7109375" customWidth="1"/>
  </cols>
  <sheetData>
    <row r="1" spans="1:7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</row>
    <row r="2" spans="1:76">
      <c r="A2" s="2" t="s">
        <v>88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</row>
    <row r="3" spans="1:76">
      <c r="A3" s="2" t="s">
        <v>89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</row>
    <row r="4" spans="1:76">
      <c r="A4" s="2" t="s">
        <v>90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</row>
    <row r="5" spans="1:76">
      <c r="A5" s="2" t="s">
        <v>91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</row>
    <row r="6" spans="1:76">
      <c r="A6" s="2" t="s">
        <v>92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0</v>
      </c>
      <c r="AA6" s="4">
        <v>0</v>
      </c>
      <c r="AB6" s="4">
        <v>0</v>
      </c>
      <c r="AC6" s="4">
        <v>1</v>
      </c>
      <c r="AD6" s="4">
        <v>0</v>
      </c>
      <c r="AE6" s="4">
        <v>1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</row>
    <row r="7" spans="1:76">
      <c r="A7" s="2" t="s">
        <v>93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1</v>
      </c>
      <c r="AC7" s="4">
        <v>1</v>
      </c>
      <c r="AD7" s="4">
        <v>0</v>
      </c>
      <c r="AE7" s="4">
        <v>1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1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</row>
    <row r="8" spans="1:76">
      <c r="A8" s="2" t="s">
        <v>94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1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</row>
    <row r="9" spans="1:76">
      <c r="A9" s="2" t="s">
        <v>95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</row>
    <row r="10" spans="1:76">
      <c r="A10" s="2" t="s">
        <v>96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1</v>
      </c>
      <c r="AV10" s="4">
        <v>0</v>
      </c>
      <c r="AW10" s="4">
        <v>1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1</v>
      </c>
      <c r="BU10" s="4">
        <v>0</v>
      </c>
      <c r="BV10" s="4">
        <v>0</v>
      </c>
      <c r="BW10" s="4">
        <v>0</v>
      </c>
      <c r="BX10" s="4">
        <v>0</v>
      </c>
    </row>
    <row r="11" spans="1:76">
      <c r="A11" s="2" t="s">
        <v>97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</row>
    <row r="12" spans="1:76">
      <c r="A12" s="2" t="s">
        <v>98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</row>
    <row r="13" spans="1:76">
      <c r="A13" s="2" t="s">
        <v>99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1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</row>
    <row r="14" spans="1:76">
      <c r="A14" s="2" t="s">
        <v>100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1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</row>
    <row r="15" spans="1:76">
      <c r="A15" s="2" t="s">
        <v>101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1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</row>
    <row r="16" spans="1:76">
      <c r="A16" s="2" t="s">
        <v>102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</row>
    <row r="17" spans="1:76">
      <c r="A17" s="2" t="s">
        <v>103</v>
      </c>
      <c r="B17" s="4">
        <v>0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1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</row>
    <row r="18" spans="1:76">
      <c r="A18" s="2" t="s">
        <v>104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1</v>
      </c>
      <c r="BI18" s="4">
        <v>0</v>
      </c>
      <c r="BJ18" s="4">
        <v>1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1</v>
      </c>
      <c r="BV18" s="4">
        <v>0</v>
      </c>
      <c r="BW18" s="4">
        <v>0</v>
      </c>
      <c r="BX18" s="4">
        <v>0</v>
      </c>
    </row>
    <row r="19" spans="1:76">
      <c r="A19" s="2" t="s">
        <v>105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0</v>
      </c>
      <c r="BP19" s="4">
        <v>1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</row>
    <row r="20" spans="1:76">
      <c r="A20" s="2" t="s">
        <v>106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</row>
    <row r="21" spans="1:76">
      <c r="A21" s="2" t="s">
        <v>107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</row>
    <row r="22" spans="1:76">
      <c r="A22" s="2" t="s">
        <v>108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</row>
    <row r="23" spans="1:76">
      <c r="A23" s="2" t="s">
        <v>109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</row>
    <row r="24" spans="1:76">
      <c r="A24" s="2" t="s">
        <v>110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</row>
    <row r="25" spans="1:76">
      <c r="A25" s="2" t="s">
        <v>111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</row>
    <row r="26" spans="1:76">
      <c r="A26" s="2" t="s">
        <v>112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</row>
    <row r="27" spans="1:76">
      <c r="A27" s="2" t="s">
        <v>113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</row>
    <row r="28" spans="1:76">
      <c r="A28" s="2" t="s">
        <v>114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</row>
    <row r="29" spans="1:76">
      <c r="A29" s="2" t="s">
        <v>115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</row>
    <row r="30" spans="1:76">
      <c r="A30" s="2" t="s">
        <v>116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</row>
    <row r="31" spans="1:76">
      <c r="A31" s="2" t="s">
        <v>117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</row>
    <row r="32" spans="1:76">
      <c r="A32" s="2" t="s">
        <v>118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</row>
    <row r="33" spans="1:76">
      <c r="A33" s="2" t="s">
        <v>119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</row>
    <row r="34" spans="1:76">
      <c r="A34" s="2" t="s">
        <v>120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</row>
    <row r="35" spans="1:76">
      <c r="A35" s="2" t="s">
        <v>121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</v>
      </c>
      <c r="BB35" s="4">
        <v>0</v>
      </c>
      <c r="BC35" s="4">
        <v>0</v>
      </c>
      <c r="BD35" s="4">
        <v>1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1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</row>
    <row r="36" spans="1:76">
      <c r="A36" s="2" t="s">
        <v>122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</row>
    <row r="37" spans="1:76">
      <c r="A37" s="2" t="s">
        <v>123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</row>
    <row r="38" spans="1:76">
      <c r="A38" s="2" t="s">
        <v>124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</row>
    <row r="39" spans="1:76">
      <c r="A39" s="2" t="s">
        <v>125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</row>
    <row r="40" spans="1:76">
      <c r="A40" s="2" t="s">
        <v>126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</row>
    <row r="41" spans="1:76">
      <c r="A41" s="2" t="s">
        <v>127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</row>
    <row r="42" spans="1:76">
      <c r="A42" s="2" t="s">
        <v>128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</row>
    <row r="43" spans="1:76">
      <c r="A43" s="2" t="s">
        <v>129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1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</row>
    <row r="44" spans="1:76">
      <c r="A44" s="2" t="s">
        <v>130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1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</row>
    <row r="45" spans="1:76">
      <c r="A45" s="2" t="s">
        <v>131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</row>
    <row r="46" spans="1:76">
      <c r="A46" s="2" t="s">
        <v>132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</v>
      </c>
      <c r="AU46" s="4">
        <v>0</v>
      </c>
      <c r="AV46" s="4">
        <v>0</v>
      </c>
      <c r="AW46" s="4">
        <v>0</v>
      </c>
      <c r="AX46" s="4">
        <v>0</v>
      </c>
      <c r="AY46" s="4">
        <v>1</v>
      </c>
      <c r="AZ46" s="4">
        <v>1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</row>
    <row r="47" spans="1:76">
      <c r="A47" s="2" t="s">
        <v>133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</row>
    <row r="48" spans="1:76">
      <c r="A48" s="2" t="s">
        <v>134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  <c r="AX48" s="4">
        <v>0</v>
      </c>
      <c r="AY48" s="4">
        <v>1</v>
      </c>
      <c r="AZ48" s="4">
        <v>1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</row>
    <row r="49" spans="1:76">
      <c r="A49" s="2" t="s">
        <v>135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</row>
    <row r="50" spans="1:76">
      <c r="A50" s="2" t="s">
        <v>136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1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</row>
    <row r="51" spans="1:76">
      <c r="A51" s="2" t="s">
        <v>137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1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</row>
    <row r="52" spans="1:76">
      <c r="A52" s="2" t="s">
        <v>138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</row>
    <row r="53" spans="1:76">
      <c r="A53" s="2" t="s">
        <v>139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</row>
    <row r="54" spans="1:76">
      <c r="A54" s="2" t="s">
        <v>140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</row>
    <row r="55" spans="1:76">
      <c r="A55" s="2" t="s">
        <v>141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1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</row>
    <row r="56" spans="1:76">
      <c r="A56" s="2" t="s">
        <v>142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</row>
    <row r="57" spans="1:76">
      <c r="A57" s="2" t="s">
        <v>143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1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</row>
    <row r="58" spans="1:76">
      <c r="A58" s="2" t="s">
        <v>144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1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</row>
    <row r="59" spans="1:76">
      <c r="A59" s="2" t="s">
        <v>145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1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</row>
    <row r="60" spans="1:76">
      <c r="A60" s="2" t="s">
        <v>146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</row>
    <row r="61" spans="1:76">
      <c r="A61" s="2" t="s">
        <v>147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</row>
    <row r="62" spans="1:76">
      <c r="A62" s="2" t="s">
        <v>148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</row>
    <row r="63" spans="1:76">
      <c r="A63" s="2" t="s">
        <v>149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</row>
    <row r="64" spans="1:76">
      <c r="A64" s="2" t="s">
        <v>150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1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</row>
    <row r="65" spans="1:76">
      <c r="A65" s="2" t="s">
        <v>151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</row>
    <row r="66" spans="1:76">
      <c r="A66" s="2" t="s">
        <v>152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</row>
    <row r="67" spans="1:76">
      <c r="A67" s="2" t="s">
        <v>153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1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1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</row>
    <row r="68" spans="1:76">
      <c r="A68" s="2" t="s">
        <v>154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</row>
    <row r="69" spans="1:76">
      <c r="A69" s="2" t="s">
        <v>155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</row>
    <row r="70" spans="1:76">
      <c r="A70" s="2" t="s">
        <v>156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</row>
    <row r="71" spans="1:76">
      <c r="A71" s="2" t="s">
        <v>157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</row>
    <row r="72" spans="1:76">
      <c r="A72" s="2" t="s">
        <v>158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</row>
    <row r="73" spans="1:76">
      <c r="A73" s="2" t="s">
        <v>159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</row>
    <row r="74" spans="1:76">
      <c r="A74" s="2" t="s">
        <v>160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</row>
    <row r="75" spans="1:76">
      <c r="A75" s="2" t="s">
        <v>161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</row>
    <row r="76" spans="1:76">
      <c r="A76" s="2" t="s">
        <v>162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</row>
    <row r="77" spans="1:76">
      <c r="A77" s="2" t="s">
        <v>163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1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</row>
    <row r="78" spans="1:76">
      <c r="A78" s="2" t="s">
        <v>164</v>
      </c>
      <c r="B78" s="4">
        <v>0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</row>
    <row r="79" spans="1:76">
      <c r="A79" s="2" t="s">
        <v>165</v>
      </c>
      <c r="B79" s="4">
        <v>0</v>
      </c>
      <c r="C79" s="4">
        <v>0</v>
      </c>
      <c r="D79" s="4">
        <v>0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</row>
    <row r="80" spans="1:76">
      <c r="A80" s="2" t="s">
        <v>166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</row>
    <row r="81" spans="1:76">
      <c r="A81" s="2" t="s">
        <v>167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</row>
    <row r="82" spans="1:76">
      <c r="A82" s="2" t="s">
        <v>168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</row>
    <row r="83" spans="1:76">
      <c r="A83" s="2" t="s">
        <v>169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</row>
    <row r="84" spans="1:76">
      <c r="A84" s="2" t="s">
        <v>170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1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</row>
    <row r="85" spans="1:76">
      <c r="A85" s="2" t="s">
        <v>171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1</v>
      </c>
      <c r="AR85" s="4">
        <v>0</v>
      </c>
      <c r="AS85" s="4">
        <v>0</v>
      </c>
      <c r="AT85" s="4">
        <v>0</v>
      </c>
      <c r="AU85" s="4">
        <v>1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1</v>
      </c>
      <c r="BO85" s="4">
        <v>0</v>
      </c>
      <c r="BP85" s="4">
        <v>0</v>
      </c>
      <c r="BQ85" s="4">
        <v>0</v>
      </c>
      <c r="BR85" s="4">
        <v>0</v>
      </c>
      <c r="BS85" s="4">
        <v>1</v>
      </c>
      <c r="BT85" s="4">
        <v>0</v>
      </c>
      <c r="BU85" s="4">
        <v>0</v>
      </c>
      <c r="BV85" s="4">
        <v>1</v>
      </c>
      <c r="BW85" s="4">
        <v>0</v>
      </c>
      <c r="BX85" s="4">
        <v>0</v>
      </c>
    </row>
    <row r="86" spans="1:76">
      <c r="A86" s="2" t="s">
        <v>172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>
        <v>0</v>
      </c>
      <c r="AS86" s="4">
        <v>0</v>
      </c>
      <c r="AT86" s="4">
        <v>0</v>
      </c>
      <c r="AU86" s="4">
        <v>1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1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</row>
    <row r="87" spans="1:76">
      <c r="A87" s="2" t="s">
        <v>173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1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</row>
    <row r="88" spans="1:76">
      <c r="A88" s="2" t="s">
        <v>174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</row>
    <row r="89" spans="1:76">
      <c r="A89" s="2" t="s">
        <v>175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0</v>
      </c>
      <c r="AV89" s="4">
        <v>1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</row>
    <row r="90" spans="1:76">
      <c r="A90" s="2" t="s">
        <v>176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</row>
    <row r="91" spans="1:76">
      <c r="A91" s="2" t="s">
        <v>177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</row>
    <row r="92" spans="1:76">
      <c r="A92" s="2" t="s">
        <v>178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1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</row>
    <row r="93" spans="1:76">
      <c r="A93" s="2" t="s">
        <v>179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1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1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</row>
    <row r="94" spans="1:76">
      <c r="A94" s="2" t="s">
        <v>180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1</v>
      </c>
      <c r="BS94" s="4">
        <v>1</v>
      </c>
      <c r="BT94" s="4">
        <v>0</v>
      </c>
      <c r="BU94" s="4">
        <v>0</v>
      </c>
      <c r="BV94" s="4">
        <v>1</v>
      </c>
      <c r="BW94" s="4">
        <v>0</v>
      </c>
      <c r="BX94" s="4">
        <v>0</v>
      </c>
    </row>
    <row r="95" spans="1:76">
      <c r="A95" s="2" t="s">
        <v>181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1</v>
      </c>
      <c r="BT95" s="4">
        <v>0</v>
      </c>
      <c r="BU95" s="4">
        <v>0</v>
      </c>
      <c r="BV95" s="4">
        <v>1</v>
      </c>
      <c r="BW95" s="4">
        <v>0</v>
      </c>
      <c r="BX95" s="4">
        <v>0</v>
      </c>
    </row>
    <row r="96" spans="1:76">
      <c r="A96" s="2" t="s">
        <v>182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</row>
    <row r="97" spans="1:76">
      <c r="A97" s="2" t="s">
        <v>183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</row>
    <row r="98" spans="1:76">
      <c r="A98" s="2" t="s">
        <v>184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1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1</v>
      </c>
      <c r="BX98" s="4">
        <v>0</v>
      </c>
    </row>
    <row r="99" spans="1:76">
      <c r="A99" s="2" t="s">
        <v>185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1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</row>
    <row r="100" spans="1:76">
      <c r="A100" s="2" t="s">
        <v>186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</row>
    <row r="101" spans="1:76">
      <c r="A101" s="2" t="s">
        <v>187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</row>
    <row r="102" spans="1:76">
      <c r="A102" s="2" t="s">
        <v>188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</row>
    <row r="103" spans="1:76">
      <c r="A103" s="2" t="s">
        <v>189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</row>
    <row r="104" spans="1:76">
      <c r="A104" s="2" t="s">
        <v>190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1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1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1</v>
      </c>
    </row>
    <row r="105" spans="1:76">
      <c r="A105" s="2" t="s">
        <v>191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1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4">
        <v>0</v>
      </c>
      <c r="AV105" s="4">
        <v>0</v>
      </c>
      <c r="AW105" s="4">
        <v>0</v>
      </c>
      <c r="AX105" s="4">
        <v>0</v>
      </c>
      <c r="AY105" s="4">
        <v>1</v>
      </c>
      <c r="AZ105" s="4">
        <v>1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1</v>
      </c>
    </row>
    <row r="106" spans="1:76">
      <c r="A106" s="2" t="s">
        <v>192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1</v>
      </c>
      <c r="AW106" s="4">
        <v>0</v>
      </c>
      <c r="AX106" s="4">
        <v>1</v>
      </c>
      <c r="AY106" s="4">
        <v>0</v>
      </c>
      <c r="AZ106" s="4">
        <v>1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1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</row>
    <row r="107" spans="1:76">
      <c r="A107" s="2" t="s">
        <v>193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1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1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</row>
    <row r="108" spans="1:76">
      <c r="A108" s="2" t="s">
        <v>194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</row>
    <row r="109" spans="1:76">
      <c r="A109" s="2" t="s">
        <v>195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1</v>
      </c>
      <c r="AU109" s="4">
        <v>0</v>
      </c>
      <c r="AV109" s="4">
        <v>1</v>
      </c>
      <c r="AW109" s="4">
        <v>0</v>
      </c>
      <c r="AX109" s="4">
        <v>0</v>
      </c>
      <c r="AY109" s="4">
        <v>0</v>
      </c>
      <c r="AZ109" s="4">
        <v>1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</row>
    <row r="110" spans="1:76">
      <c r="A110" s="2" t="s">
        <v>196</v>
      </c>
      <c r="B110" s="4">
        <v>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</row>
    <row r="111" spans="1:76">
      <c r="A111" s="2" t="s">
        <v>197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</row>
    <row r="112" spans="1:76">
      <c r="A112" s="2" t="s">
        <v>198</v>
      </c>
      <c r="B112" s="4">
        <v>0</v>
      </c>
      <c r="C112" s="4">
        <v>0</v>
      </c>
      <c r="D112" s="4">
        <v>0</v>
      </c>
      <c r="E112" s="4">
        <v>1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</row>
    <row r="113" spans="1:76">
      <c r="A113" s="2" t="s">
        <v>199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</row>
  </sheetData>
  <autoFilter ref="A1:BX1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1.7109375" customWidth="1"/>
    <col min="4" max="4" width="22.7109375" customWidth="1"/>
    <col min="5" max="5" width="31.7109375" customWidth="1"/>
    <col min="6" max="6" width="23.7109375" customWidth="1"/>
    <col min="7" max="8" width="24.7109375" customWidth="1"/>
  </cols>
  <sheetData>
    <row r="1" spans="1:8">
      <c r="A1" s="1" t="s">
        <v>12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>
      <c r="A2" s="2" t="s">
        <v>88</v>
      </c>
      <c r="B2" s="2" t="s">
        <v>207</v>
      </c>
      <c r="C2" s="2" t="s">
        <v>208</v>
      </c>
      <c r="D2" s="2" t="s">
        <v>209</v>
      </c>
      <c r="E2" s="2" t="s">
        <v>210</v>
      </c>
      <c r="F2" s="2" t="s">
        <v>211</v>
      </c>
      <c r="G2" s="4">
        <f>SUM(pathogen_presence!B2:BX2)</f>
        <v>2</v>
      </c>
      <c r="H2" s="2" t="str">
        <f>IF(G2=0,"pathogen 0",IF(G2&lt;=5,"pathogen "&amp;G2,"pathogen &gt; 5"))</f>
        <v>pathogen 2</v>
      </c>
    </row>
    <row r="3" spans="1:8">
      <c r="A3" s="2" t="s">
        <v>89</v>
      </c>
      <c r="B3" s="2" t="s">
        <v>207</v>
      </c>
      <c r="C3" s="2" t="s">
        <v>208</v>
      </c>
      <c r="D3" s="2" t="s">
        <v>209</v>
      </c>
      <c r="E3" s="2" t="s">
        <v>210</v>
      </c>
      <c r="F3" s="2" t="s">
        <v>211</v>
      </c>
      <c r="G3" s="4">
        <f>SUM(pathogen_presence!B3:BX3)</f>
        <v>1</v>
      </c>
      <c r="H3" s="2" t="str">
        <f>IF(G3=0,"pathogen 0",IF(G3&lt;=5,"pathogen "&amp;G3,"pathogen &gt; 5"))</f>
        <v>pathogen 1</v>
      </c>
    </row>
    <row r="4" spans="1:8">
      <c r="A4" s="2" t="s">
        <v>90</v>
      </c>
      <c r="B4" s="2" t="s">
        <v>207</v>
      </c>
      <c r="C4" s="2" t="s">
        <v>208</v>
      </c>
      <c r="D4" s="2" t="s">
        <v>209</v>
      </c>
      <c r="E4" s="2" t="s">
        <v>210</v>
      </c>
      <c r="F4" s="2" t="s">
        <v>211</v>
      </c>
      <c r="G4" s="4">
        <f>SUM(pathogen_presence!B4:BX4)</f>
        <v>1</v>
      </c>
      <c r="H4" s="2" t="str">
        <f>IF(G4=0,"pathogen 0",IF(G4&lt;=5,"pathogen "&amp;G4,"pathogen &gt; 5"))</f>
        <v>pathogen 1</v>
      </c>
    </row>
    <row r="5" spans="1:8">
      <c r="A5" s="2" t="s">
        <v>91</v>
      </c>
      <c r="B5" s="2" t="s">
        <v>207</v>
      </c>
      <c r="C5" s="2" t="s">
        <v>208</v>
      </c>
      <c r="D5" s="2" t="s">
        <v>209</v>
      </c>
      <c r="E5" s="2" t="s">
        <v>210</v>
      </c>
      <c r="F5" s="2" t="s">
        <v>211</v>
      </c>
      <c r="G5" s="4">
        <f>SUM(pathogen_presence!B5:BX5)</f>
        <v>1</v>
      </c>
      <c r="H5" s="2" t="str">
        <f>IF(G5=0,"pathogen 0",IF(G5&lt;=5,"pathogen "&amp;G5,"pathogen &gt; 5"))</f>
        <v>pathogen 1</v>
      </c>
    </row>
    <row r="6" spans="1:8">
      <c r="A6" s="2" t="s">
        <v>92</v>
      </c>
      <c r="B6" s="2" t="s">
        <v>207</v>
      </c>
      <c r="C6" s="2" t="s">
        <v>212</v>
      </c>
      <c r="D6" s="2" t="s">
        <v>213</v>
      </c>
      <c r="E6" s="2" t="s">
        <v>214</v>
      </c>
      <c r="F6" s="2" t="s">
        <v>215</v>
      </c>
      <c r="G6" s="4">
        <f>SUM(pathogen_presence!B6:BX6)</f>
        <v>4</v>
      </c>
      <c r="H6" s="2" t="str">
        <f>IF(G6=0,"pathogen 0",IF(G6&lt;=5,"pathogen "&amp;G6,"pathogen &gt; 5"))</f>
        <v>pathogen 4</v>
      </c>
    </row>
    <row r="7" spans="1:8">
      <c r="A7" s="2" t="s">
        <v>93</v>
      </c>
      <c r="B7" s="2" t="s">
        <v>207</v>
      </c>
      <c r="C7" s="2" t="s">
        <v>212</v>
      </c>
      <c r="D7" s="2" t="s">
        <v>213</v>
      </c>
      <c r="E7" s="2" t="s">
        <v>214</v>
      </c>
      <c r="F7" s="2" t="s">
        <v>215</v>
      </c>
      <c r="G7" s="4">
        <f>SUM(pathogen_presence!B7:BX7)</f>
        <v>5</v>
      </c>
      <c r="H7" s="2" t="str">
        <f>IF(G7=0,"pathogen 0",IF(G7&lt;=5,"pathogen "&amp;G7,"pathogen &gt; 5"))</f>
        <v>pathogen 5</v>
      </c>
    </row>
    <row r="8" spans="1:8">
      <c r="A8" s="2" t="s">
        <v>94</v>
      </c>
      <c r="B8" s="2" t="s">
        <v>207</v>
      </c>
      <c r="C8" s="2" t="s">
        <v>212</v>
      </c>
      <c r="D8" s="2" t="s">
        <v>213</v>
      </c>
      <c r="E8" s="2" t="s">
        <v>214</v>
      </c>
      <c r="F8" s="2" t="s">
        <v>215</v>
      </c>
      <c r="G8" s="4">
        <f>SUM(pathogen_presence!B8:BX8)</f>
        <v>3</v>
      </c>
      <c r="H8" s="2" t="str">
        <f>IF(G8=0,"pathogen 0",IF(G8&lt;=5,"pathogen "&amp;G8,"pathogen &gt; 5"))</f>
        <v>pathogen 3</v>
      </c>
    </row>
    <row r="9" spans="1:8">
      <c r="A9" s="2" t="s">
        <v>95</v>
      </c>
      <c r="B9" s="2" t="s">
        <v>207</v>
      </c>
      <c r="C9" s="2" t="s">
        <v>212</v>
      </c>
      <c r="D9" s="2" t="s">
        <v>213</v>
      </c>
      <c r="E9" s="2" t="s">
        <v>216</v>
      </c>
      <c r="F9" s="2" t="s">
        <v>217</v>
      </c>
      <c r="G9" s="4">
        <f>SUM(pathogen_presence!B9:BX9)</f>
        <v>0</v>
      </c>
      <c r="H9" s="2" t="str">
        <f>IF(G9=0,"pathogen 0",IF(G9&lt;=5,"pathogen "&amp;G9,"pathogen &gt; 5"))</f>
        <v>pathogen 0</v>
      </c>
    </row>
    <row r="10" spans="1:8">
      <c r="A10" s="2" t="s">
        <v>96</v>
      </c>
      <c r="B10" s="2" t="s">
        <v>207</v>
      </c>
      <c r="C10" s="2" t="s">
        <v>212</v>
      </c>
      <c r="D10" s="2" t="s">
        <v>213</v>
      </c>
      <c r="E10" s="2" t="s">
        <v>216</v>
      </c>
      <c r="F10" s="2" t="s">
        <v>217</v>
      </c>
      <c r="G10" s="4">
        <f>SUM(pathogen_presence!B10:BX10)</f>
        <v>5</v>
      </c>
      <c r="H10" s="2" t="str">
        <f>IF(G10=0,"pathogen 0",IF(G10&lt;=5,"pathogen "&amp;G10,"pathogen &gt; 5"))</f>
        <v>pathogen 5</v>
      </c>
    </row>
    <row r="11" spans="1:8">
      <c r="A11" s="2" t="s">
        <v>97</v>
      </c>
      <c r="B11" s="2" t="s">
        <v>207</v>
      </c>
      <c r="C11" s="2" t="s">
        <v>212</v>
      </c>
      <c r="D11" s="2" t="s">
        <v>213</v>
      </c>
      <c r="E11" s="2" t="s">
        <v>216</v>
      </c>
      <c r="F11" s="2" t="s">
        <v>217</v>
      </c>
      <c r="G11" s="4">
        <f>SUM(pathogen_presence!B11:BX11)</f>
        <v>1</v>
      </c>
      <c r="H11" s="2" t="str">
        <f>IF(G11=0,"pathogen 0",IF(G11&lt;=5,"pathogen "&amp;G11,"pathogen &gt; 5"))</f>
        <v>pathogen 1</v>
      </c>
    </row>
    <row r="12" spans="1:8">
      <c r="A12" s="2" t="s">
        <v>98</v>
      </c>
      <c r="B12" s="2" t="s">
        <v>207</v>
      </c>
      <c r="C12" s="2" t="s">
        <v>212</v>
      </c>
      <c r="D12" s="2" t="s">
        <v>213</v>
      </c>
      <c r="E12" s="2" t="s">
        <v>218</v>
      </c>
      <c r="F12" s="2" t="s">
        <v>219</v>
      </c>
      <c r="G12" s="4">
        <f>SUM(pathogen_presence!B12:BX12)</f>
        <v>3</v>
      </c>
      <c r="H12" s="2" t="str">
        <f>IF(G12=0,"pathogen 0",IF(G12&lt;=5,"pathogen "&amp;G12,"pathogen &gt; 5"))</f>
        <v>pathogen 3</v>
      </c>
    </row>
    <row r="13" spans="1:8">
      <c r="A13" s="2" t="s">
        <v>99</v>
      </c>
      <c r="B13" s="2" t="s">
        <v>207</v>
      </c>
      <c r="C13" s="2" t="s">
        <v>212</v>
      </c>
      <c r="D13" s="2" t="s">
        <v>213</v>
      </c>
      <c r="E13" s="2" t="s">
        <v>218</v>
      </c>
      <c r="F13" s="2" t="s">
        <v>219</v>
      </c>
      <c r="G13" s="4">
        <f>SUM(pathogen_presence!B13:BX13)</f>
        <v>1</v>
      </c>
      <c r="H13" s="2" t="str">
        <f>IF(G13=0,"pathogen 0",IF(G13&lt;=5,"pathogen "&amp;G13,"pathogen &gt; 5"))</f>
        <v>pathogen 1</v>
      </c>
    </row>
    <row r="14" spans="1:8">
      <c r="A14" s="2" t="s">
        <v>100</v>
      </c>
      <c r="B14" s="2" t="s">
        <v>207</v>
      </c>
      <c r="C14" s="2" t="s">
        <v>212</v>
      </c>
      <c r="D14" s="2" t="s">
        <v>213</v>
      </c>
      <c r="E14" s="2" t="s">
        <v>218</v>
      </c>
      <c r="F14" s="2" t="s">
        <v>219</v>
      </c>
      <c r="G14" s="4">
        <f>SUM(pathogen_presence!B14:BX14)</f>
        <v>2</v>
      </c>
      <c r="H14" s="2" t="str">
        <f>IF(G14=0,"pathogen 0",IF(G14&lt;=5,"pathogen "&amp;G14,"pathogen &gt; 5"))</f>
        <v>pathogen 2</v>
      </c>
    </row>
    <row r="15" spans="1:8">
      <c r="A15" s="2" t="s">
        <v>101</v>
      </c>
      <c r="B15" s="2" t="s">
        <v>207</v>
      </c>
      <c r="C15" s="2" t="s">
        <v>220</v>
      </c>
      <c r="D15" s="2" t="s">
        <v>221</v>
      </c>
      <c r="E15" s="2" t="s">
        <v>222</v>
      </c>
      <c r="F15" s="2" t="s">
        <v>223</v>
      </c>
      <c r="G15" s="4">
        <f>SUM(pathogen_presence!B15:BX15)</f>
        <v>2</v>
      </c>
      <c r="H15" s="2" t="str">
        <f>IF(G15=0,"pathogen 0",IF(G15&lt;=5,"pathogen "&amp;G15,"pathogen &gt; 5"))</f>
        <v>pathogen 2</v>
      </c>
    </row>
    <row r="16" spans="1:8">
      <c r="A16" s="2" t="s">
        <v>102</v>
      </c>
      <c r="B16" s="2" t="s">
        <v>207</v>
      </c>
      <c r="C16" s="2" t="s">
        <v>220</v>
      </c>
      <c r="D16" s="2" t="s">
        <v>221</v>
      </c>
      <c r="E16" s="2" t="s">
        <v>222</v>
      </c>
      <c r="F16" s="2" t="s">
        <v>223</v>
      </c>
      <c r="G16" s="4">
        <f>SUM(pathogen_presence!B16:BX16)</f>
        <v>0</v>
      </c>
      <c r="H16" s="2" t="str">
        <f>IF(G16=0,"pathogen 0",IF(G16&lt;=5,"pathogen "&amp;G16,"pathogen &gt; 5"))</f>
        <v>pathogen 0</v>
      </c>
    </row>
    <row r="17" spans="1:8">
      <c r="A17" s="2" t="s">
        <v>103</v>
      </c>
      <c r="B17" s="2" t="s">
        <v>207</v>
      </c>
      <c r="C17" s="2" t="s">
        <v>220</v>
      </c>
      <c r="D17" s="2" t="s">
        <v>221</v>
      </c>
      <c r="E17" s="2" t="s">
        <v>222</v>
      </c>
      <c r="F17" s="2" t="s">
        <v>223</v>
      </c>
      <c r="G17" s="4">
        <f>SUM(pathogen_presence!B17:BX17)</f>
        <v>3</v>
      </c>
      <c r="H17" s="2" t="str">
        <f>IF(G17=0,"pathogen 0",IF(G17&lt;=5,"pathogen "&amp;G17,"pathogen &gt; 5"))</f>
        <v>pathogen 3</v>
      </c>
    </row>
    <row r="18" spans="1:8">
      <c r="A18" s="2" t="s">
        <v>104</v>
      </c>
      <c r="B18" s="2" t="s">
        <v>207</v>
      </c>
      <c r="C18" s="2" t="s">
        <v>220</v>
      </c>
      <c r="D18" s="2" t="s">
        <v>221</v>
      </c>
      <c r="E18" s="2" t="s">
        <v>224</v>
      </c>
      <c r="F18" s="2" t="s">
        <v>225</v>
      </c>
      <c r="G18" s="4">
        <f>SUM(pathogen_presence!B18:BX18)</f>
        <v>4</v>
      </c>
      <c r="H18" s="2" t="str">
        <f>IF(G18=0,"pathogen 0",IF(G18&lt;=5,"pathogen "&amp;G18,"pathogen &gt; 5"))</f>
        <v>pathogen 4</v>
      </c>
    </row>
    <row r="19" spans="1:8">
      <c r="A19" s="2" t="s">
        <v>105</v>
      </c>
      <c r="B19" s="2" t="s">
        <v>207</v>
      </c>
      <c r="C19" s="2" t="s">
        <v>226</v>
      </c>
      <c r="D19" s="2" t="s">
        <v>227</v>
      </c>
      <c r="E19" s="2" t="s">
        <v>228</v>
      </c>
      <c r="F19" s="2" t="s">
        <v>229</v>
      </c>
      <c r="G19" s="4">
        <f>SUM(pathogen_presence!B19:BX19)</f>
        <v>2</v>
      </c>
      <c r="H19" s="2" t="str">
        <f>IF(G19=0,"pathogen 0",IF(G19&lt;=5,"pathogen "&amp;G19,"pathogen &gt; 5"))</f>
        <v>pathogen 2</v>
      </c>
    </row>
    <row r="20" spans="1:8">
      <c r="A20" s="2" t="s">
        <v>106</v>
      </c>
      <c r="B20" s="2" t="s">
        <v>207</v>
      </c>
      <c r="C20" s="2" t="s">
        <v>230</v>
      </c>
      <c r="D20" s="2" t="s">
        <v>231</v>
      </c>
      <c r="E20" s="2" t="s">
        <v>232</v>
      </c>
      <c r="F20" s="2" t="s">
        <v>233</v>
      </c>
      <c r="G20" s="4">
        <f>SUM(pathogen_presence!B20:BX20)</f>
        <v>1</v>
      </c>
      <c r="H20" s="2" t="str">
        <f>IF(G20=0,"pathogen 0",IF(G20&lt;=5,"pathogen "&amp;G20,"pathogen &gt; 5"))</f>
        <v>pathogen 1</v>
      </c>
    </row>
    <row r="21" spans="1:8">
      <c r="A21" s="2" t="s">
        <v>107</v>
      </c>
      <c r="B21" s="2" t="s">
        <v>207</v>
      </c>
      <c r="C21" s="2" t="s">
        <v>230</v>
      </c>
      <c r="D21" s="2" t="s">
        <v>231</v>
      </c>
      <c r="E21" s="2" t="s">
        <v>232</v>
      </c>
      <c r="F21" s="2" t="s">
        <v>233</v>
      </c>
      <c r="G21" s="4">
        <f>SUM(pathogen_presence!B21:BX21)</f>
        <v>1</v>
      </c>
      <c r="H21" s="2" t="str">
        <f>IF(G21=0,"pathogen 0",IF(G21&lt;=5,"pathogen "&amp;G21,"pathogen &gt; 5"))</f>
        <v>pathogen 1</v>
      </c>
    </row>
    <row r="22" spans="1:8">
      <c r="A22" s="2" t="s">
        <v>108</v>
      </c>
      <c r="B22" s="2" t="s">
        <v>207</v>
      </c>
      <c r="C22" s="2" t="s">
        <v>230</v>
      </c>
      <c r="D22" s="2" t="s">
        <v>231</v>
      </c>
      <c r="E22" s="2" t="s">
        <v>232</v>
      </c>
      <c r="F22" s="2" t="s">
        <v>233</v>
      </c>
      <c r="G22" s="4">
        <f>SUM(pathogen_presence!B22:BX22)</f>
        <v>1</v>
      </c>
      <c r="H22" s="2" t="str">
        <f>IF(G22=0,"pathogen 0",IF(G22&lt;=5,"pathogen "&amp;G22,"pathogen &gt; 5"))</f>
        <v>pathogen 1</v>
      </c>
    </row>
    <row r="23" spans="1:8">
      <c r="A23" s="2" t="s">
        <v>109</v>
      </c>
      <c r="B23" s="2" t="s">
        <v>207</v>
      </c>
      <c r="C23" s="2" t="s">
        <v>234</v>
      </c>
      <c r="D23" s="2" t="s">
        <v>235</v>
      </c>
      <c r="E23" s="2" t="s">
        <v>236</v>
      </c>
      <c r="F23" s="2" t="s">
        <v>237</v>
      </c>
      <c r="G23" s="4">
        <f>SUM(pathogen_presence!B23:BX23)</f>
        <v>0</v>
      </c>
      <c r="H23" s="2" t="str">
        <f>IF(G23=0,"pathogen 0",IF(G23&lt;=5,"pathogen "&amp;G23,"pathogen &gt; 5"))</f>
        <v>pathogen 0</v>
      </c>
    </row>
    <row r="24" spans="1:8">
      <c r="A24" s="2" t="s">
        <v>110</v>
      </c>
      <c r="B24" s="2" t="s">
        <v>207</v>
      </c>
      <c r="C24" s="2" t="s">
        <v>234</v>
      </c>
      <c r="D24" s="2" t="s">
        <v>235</v>
      </c>
      <c r="E24" s="2" t="s">
        <v>236</v>
      </c>
      <c r="F24" s="2" t="s">
        <v>237</v>
      </c>
      <c r="G24" s="4">
        <f>SUM(pathogen_presence!B24:BX24)</f>
        <v>0</v>
      </c>
      <c r="H24" s="2" t="str">
        <f>IF(G24=0,"pathogen 0",IF(G24&lt;=5,"pathogen "&amp;G24,"pathogen &gt; 5"))</f>
        <v>pathogen 0</v>
      </c>
    </row>
    <row r="25" spans="1:8">
      <c r="A25" s="2" t="s">
        <v>111</v>
      </c>
      <c r="B25" s="2" t="s">
        <v>207</v>
      </c>
      <c r="C25" s="2" t="s">
        <v>234</v>
      </c>
      <c r="D25" s="2" t="s">
        <v>235</v>
      </c>
      <c r="E25" s="2" t="s">
        <v>236</v>
      </c>
      <c r="F25" s="2" t="s">
        <v>237</v>
      </c>
      <c r="G25" s="4">
        <f>SUM(pathogen_presence!B25:BX25)</f>
        <v>0</v>
      </c>
      <c r="H25" s="2" t="str">
        <f>IF(G25=0,"pathogen 0",IF(G25&lt;=5,"pathogen "&amp;G25,"pathogen &gt; 5"))</f>
        <v>pathogen 0</v>
      </c>
    </row>
    <row r="26" spans="1:8">
      <c r="A26" s="2" t="s">
        <v>112</v>
      </c>
      <c r="B26" s="2" t="s">
        <v>207</v>
      </c>
      <c r="C26" s="2" t="s">
        <v>234</v>
      </c>
      <c r="D26" s="2" t="s">
        <v>238</v>
      </c>
      <c r="E26" s="2" t="s">
        <v>239</v>
      </c>
      <c r="F26" s="2" t="s">
        <v>240</v>
      </c>
      <c r="G26" s="4">
        <f>SUM(pathogen_presence!B26:BX26)</f>
        <v>1</v>
      </c>
      <c r="H26" s="2" t="str">
        <f>IF(G26=0,"pathogen 0",IF(G26&lt;=5,"pathogen "&amp;G26,"pathogen &gt; 5"))</f>
        <v>pathogen 1</v>
      </c>
    </row>
    <row r="27" spans="1:8">
      <c r="A27" s="2" t="s">
        <v>113</v>
      </c>
      <c r="B27" s="2" t="s">
        <v>207</v>
      </c>
      <c r="C27" s="2" t="s">
        <v>234</v>
      </c>
      <c r="D27" s="2" t="s">
        <v>238</v>
      </c>
      <c r="E27" s="2" t="s">
        <v>239</v>
      </c>
      <c r="F27" s="2" t="s">
        <v>240</v>
      </c>
      <c r="G27" s="4">
        <f>SUM(pathogen_presence!B27:BX27)</f>
        <v>0</v>
      </c>
      <c r="H27" s="2" t="str">
        <f>IF(G27=0,"pathogen 0",IF(G27&lt;=5,"pathogen "&amp;G27,"pathogen &gt; 5"))</f>
        <v>pathogen 0</v>
      </c>
    </row>
    <row r="28" spans="1:8">
      <c r="A28" s="2" t="s">
        <v>114</v>
      </c>
      <c r="B28" s="2" t="s">
        <v>207</v>
      </c>
      <c r="C28" s="2" t="s">
        <v>234</v>
      </c>
      <c r="D28" s="2" t="s">
        <v>238</v>
      </c>
      <c r="E28" s="2" t="s">
        <v>239</v>
      </c>
      <c r="F28" s="2" t="s">
        <v>240</v>
      </c>
      <c r="G28" s="4">
        <f>SUM(pathogen_presence!B28:BX28)</f>
        <v>0</v>
      </c>
      <c r="H28" s="2" t="str">
        <f>IF(G28=0,"pathogen 0",IF(G28&lt;=5,"pathogen "&amp;G28,"pathogen &gt; 5"))</f>
        <v>pathogen 0</v>
      </c>
    </row>
    <row r="29" spans="1:8">
      <c r="A29" s="2" t="s">
        <v>115</v>
      </c>
      <c r="B29" s="2" t="s">
        <v>207</v>
      </c>
      <c r="C29" s="2" t="s">
        <v>234</v>
      </c>
      <c r="D29" s="2" t="s">
        <v>238</v>
      </c>
      <c r="E29" s="2" t="s">
        <v>241</v>
      </c>
      <c r="F29" s="2" t="s">
        <v>242</v>
      </c>
      <c r="G29" s="4">
        <f>SUM(pathogen_presence!B29:BX29)</f>
        <v>0</v>
      </c>
      <c r="H29" s="2" t="str">
        <f>IF(G29=0,"pathogen 0",IF(G29&lt;=5,"pathogen "&amp;G29,"pathogen &gt; 5"))</f>
        <v>pathogen 0</v>
      </c>
    </row>
    <row r="30" spans="1:8">
      <c r="A30" s="2" t="s">
        <v>116</v>
      </c>
      <c r="B30" s="2" t="s">
        <v>207</v>
      </c>
      <c r="C30" s="2" t="s">
        <v>234</v>
      </c>
      <c r="D30" s="2" t="s">
        <v>238</v>
      </c>
      <c r="E30" s="2" t="s">
        <v>241</v>
      </c>
      <c r="F30" s="2" t="s">
        <v>242</v>
      </c>
      <c r="G30" s="4">
        <f>SUM(pathogen_presence!B30:BX30)</f>
        <v>0</v>
      </c>
      <c r="H30" s="2" t="str">
        <f>IF(G30=0,"pathogen 0",IF(G30&lt;=5,"pathogen "&amp;G30,"pathogen &gt; 5"))</f>
        <v>pathogen 0</v>
      </c>
    </row>
    <row r="31" spans="1:8">
      <c r="A31" s="2" t="s">
        <v>117</v>
      </c>
      <c r="B31" s="2" t="s">
        <v>207</v>
      </c>
      <c r="C31" s="2" t="s">
        <v>234</v>
      </c>
      <c r="D31" s="2" t="s">
        <v>238</v>
      </c>
      <c r="E31" s="2" t="s">
        <v>241</v>
      </c>
      <c r="F31" s="2" t="s">
        <v>242</v>
      </c>
      <c r="G31" s="4">
        <f>SUM(pathogen_presence!B31:BX31)</f>
        <v>1</v>
      </c>
      <c r="H31" s="2" t="str">
        <f>IF(G31=0,"pathogen 0",IF(G31&lt;=5,"pathogen "&amp;G31,"pathogen &gt; 5"))</f>
        <v>pathogen 1</v>
      </c>
    </row>
    <row r="32" spans="1:8">
      <c r="A32" s="2" t="s">
        <v>118</v>
      </c>
      <c r="B32" s="2" t="s">
        <v>207</v>
      </c>
      <c r="C32" s="2" t="s">
        <v>234</v>
      </c>
      <c r="D32" s="2" t="s">
        <v>243</v>
      </c>
      <c r="E32" s="2" t="s">
        <v>244</v>
      </c>
      <c r="F32" s="2" t="s">
        <v>245</v>
      </c>
      <c r="G32" s="4">
        <f>SUM(pathogen_presence!B32:BX32)</f>
        <v>0</v>
      </c>
      <c r="H32" s="2" t="str">
        <f>IF(G32=0,"pathogen 0",IF(G32&lt;=5,"pathogen "&amp;G32,"pathogen &gt; 5"))</f>
        <v>pathogen 0</v>
      </c>
    </row>
    <row r="33" spans="1:8">
      <c r="A33" s="2" t="s">
        <v>119</v>
      </c>
      <c r="B33" s="2" t="s">
        <v>207</v>
      </c>
      <c r="C33" s="2" t="s">
        <v>234</v>
      </c>
      <c r="D33" s="2" t="s">
        <v>243</v>
      </c>
      <c r="E33" s="2" t="s">
        <v>244</v>
      </c>
      <c r="F33" s="2" t="s">
        <v>245</v>
      </c>
      <c r="G33" s="4">
        <f>SUM(pathogen_presence!B33:BX33)</f>
        <v>2</v>
      </c>
      <c r="H33" s="2" t="str">
        <f>IF(G33=0,"pathogen 0",IF(G33&lt;=5,"pathogen "&amp;G33,"pathogen &gt; 5"))</f>
        <v>pathogen 2</v>
      </c>
    </row>
    <row r="34" spans="1:8">
      <c r="A34" s="2" t="s">
        <v>120</v>
      </c>
      <c r="B34" s="2" t="s">
        <v>207</v>
      </c>
      <c r="C34" s="2" t="s">
        <v>234</v>
      </c>
      <c r="D34" s="2" t="s">
        <v>238</v>
      </c>
      <c r="E34" s="2" t="s">
        <v>239</v>
      </c>
      <c r="F34" s="2" t="s">
        <v>240</v>
      </c>
      <c r="G34" s="4">
        <f>SUM(pathogen_presence!B34:BX34)</f>
        <v>0</v>
      </c>
      <c r="H34" s="2" t="str">
        <f>IF(G34=0,"pathogen 0",IF(G34&lt;=5,"pathogen "&amp;G34,"pathogen &gt; 5"))</f>
        <v>pathogen 0</v>
      </c>
    </row>
    <row r="35" spans="1:8">
      <c r="A35" s="2" t="s">
        <v>121</v>
      </c>
      <c r="B35" s="2" t="s">
        <v>207</v>
      </c>
      <c r="C35" s="2" t="s">
        <v>234</v>
      </c>
      <c r="D35" s="2" t="s">
        <v>238</v>
      </c>
      <c r="E35" s="2" t="s">
        <v>239</v>
      </c>
      <c r="F35" s="2" t="s">
        <v>240</v>
      </c>
      <c r="G35" s="4">
        <f>SUM(pathogen_presence!B35:BX35)</f>
        <v>5</v>
      </c>
      <c r="H35" s="2" t="str">
        <f>IF(G35=0,"pathogen 0",IF(G35&lt;=5,"pathogen "&amp;G35,"pathogen &gt; 5"))</f>
        <v>pathogen 5</v>
      </c>
    </row>
    <row r="36" spans="1:8">
      <c r="A36" s="2" t="s">
        <v>122</v>
      </c>
      <c r="B36" s="2" t="s">
        <v>207</v>
      </c>
      <c r="C36" s="2" t="s">
        <v>234</v>
      </c>
      <c r="D36" s="2" t="s">
        <v>238</v>
      </c>
      <c r="E36" s="2" t="s">
        <v>239</v>
      </c>
      <c r="F36" s="2" t="s">
        <v>240</v>
      </c>
      <c r="G36" s="4">
        <f>SUM(pathogen_presence!B36:BX36)</f>
        <v>1</v>
      </c>
      <c r="H36" s="2" t="str">
        <f>IF(G36=0,"pathogen 0",IF(G36&lt;=5,"pathogen "&amp;G36,"pathogen &gt; 5"))</f>
        <v>pathogen 1</v>
      </c>
    </row>
    <row r="37" spans="1:8">
      <c r="A37" s="2" t="s">
        <v>123</v>
      </c>
      <c r="B37" s="2" t="s">
        <v>207</v>
      </c>
      <c r="C37" s="2" t="s">
        <v>234</v>
      </c>
      <c r="D37" s="2" t="s">
        <v>238</v>
      </c>
      <c r="E37" s="2" t="s">
        <v>246</v>
      </c>
      <c r="F37" s="2" t="s">
        <v>247</v>
      </c>
      <c r="G37" s="4">
        <f>SUM(pathogen_presence!B37:BX37)</f>
        <v>0</v>
      </c>
      <c r="H37" s="2" t="str">
        <f>IF(G37=0,"pathogen 0",IF(G37&lt;=5,"pathogen "&amp;G37,"pathogen &gt; 5"))</f>
        <v>pathogen 0</v>
      </c>
    </row>
    <row r="38" spans="1:8">
      <c r="A38" s="2" t="s">
        <v>124</v>
      </c>
      <c r="B38" s="2" t="s">
        <v>207</v>
      </c>
      <c r="C38" s="2" t="s">
        <v>234</v>
      </c>
      <c r="D38" s="2" t="s">
        <v>238</v>
      </c>
      <c r="E38" s="2" t="s">
        <v>246</v>
      </c>
      <c r="F38" s="2" t="s">
        <v>247</v>
      </c>
      <c r="G38" s="4">
        <f>SUM(pathogen_presence!B38:BX38)</f>
        <v>0</v>
      </c>
      <c r="H38" s="2" t="str">
        <f>IF(G38=0,"pathogen 0",IF(G38&lt;=5,"pathogen "&amp;G38,"pathogen &gt; 5"))</f>
        <v>pathogen 0</v>
      </c>
    </row>
    <row r="39" spans="1:8">
      <c r="A39" s="2" t="s">
        <v>125</v>
      </c>
      <c r="B39" s="2" t="s">
        <v>207</v>
      </c>
      <c r="C39" s="2" t="s">
        <v>234</v>
      </c>
      <c r="D39" s="2" t="s">
        <v>238</v>
      </c>
      <c r="E39" s="2" t="s">
        <v>246</v>
      </c>
      <c r="F39" s="2" t="s">
        <v>247</v>
      </c>
      <c r="G39" s="4">
        <f>SUM(pathogen_presence!B39:BX39)</f>
        <v>1</v>
      </c>
      <c r="H39" s="2" t="str">
        <f>IF(G39=0,"pathogen 0",IF(G39&lt;=5,"pathogen "&amp;G39,"pathogen &gt; 5"))</f>
        <v>pathogen 1</v>
      </c>
    </row>
    <row r="40" spans="1:8">
      <c r="A40" s="2" t="s">
        <v>126</v>
      </c>
      <c r="B40" s="2" t="s">
        <v>207</v>
      </c>
      <c r="C40" s="2" t="s">
        <v>234</v>
      </c>
      <c r="D40" s="2" t="s">
        <v>238</v>
      </c>
      <c r="E40" s="2" t="s">
        <v>246</v>
      </c>
      <c r="F40" s="2" t="s">
        <v>247</v>
      </c>
      <c r="G40" s="4">
        <f>SUM(pathogen_presence!B40:BX40)</f>
        <v>0</v>
      </c>
      <c r="H40" s="2" t="str">
        <f>IF(G40=0,"pathogen 0",IF(G40&lt;=5,"pathogen "&amp;G40,"pathogen &gt; 5"))</f>
        <v>pathogen 0</v>
      </c>
    </row>
    <row r="41" spans="1:8">
      <c r="A41" s="2" t="s">
        <v>127</v>
      </c>
      <c r="B41" s="2" t="s">
        <v>207</v>
      </c>
      <c r="C41" s="2" t="s">
        <v>234</v>
      </c>
      <c r="D41" s="2" t="s">
        <v>238</v>
      </c>
      <c r="E41" s="2" t="s">
        <v>246</v>
      </c>
      <c r="F41" s="2" t="s">
        <v>247</v>
      </c>
      <c r="G41" s="4">
        <f>SUM(pathogen_presence!B41:BX41)</f>
        <v>0</v>
      </c>
      <c r="H41" s="2" t="str">
        <f>IF(G41=0,"pathogen 0",IF(G41&lt;=5,"pathogen "&amp;G41,"pathogen &gt; 5"))</f>
        <v>pathogen 0</v>
      </c>
    </row>
    <row r="42" spans="1:8">
      <c r="A42" s="2" t="s">
        <v>128</v>
      </c>
      <c r="B42" s="2" t="s">
        <v>207</v>
      </c>
      <c r="C42" s="2" t="s">
        <v>234</v>
      </c>
      <c r="D42" s="2" t="s">
        <v>238</v>
      </c>
      <c r="E42" s="2" t="s">
        <v>246</v>
      </c>
      <c r="F42" s="2" t="s">
        <v>247</v>
      </c>
      <c r="G42" s="4">
        <f>SUM(pathogen_presence!B42:BX42)</f>
        <v>0</v>
      </c>
      <c r="H42" s="2" t="str">
        <f>IF(G42=0,"pathogen 0",IF(G42&lt;=5,"pathogen "&amp;G42,"pathogen &gt; 5"))</f>
        <v>pathogen 0</v>
      </c>
    </row>
    <row r="43" spans="1:8">
      <c r="A43" s="2" t="s">
        <v>129</v>
      </c>
      <c r="B43" s="2" t="s">
        <v>207</v>
      </c>
      <c r="C43" s="2" t="s">
        <v>234</v>
      </c>
      <c r="D43" s="2" t="s">
        <v>243</v>
      </c>
      <c r="E43" s="2" t="s">
        <v>248</v>
      </c>
      <c r="F43" s="2" t="s">
        <v>249</v>
      </c>
      <c r="G43" s="4">
        <f>SUM(pathogen_presence!B43:BX43)</f>
        <v>4</v>
      </c>
      <c r="H43" s="2" t="str">
        <f>IF(G43=0,"pathogen 0",IF(G43&lt;=5,"pathogen "&amp;G43,"pathogen &gt; 5"))</f>
        <v>pathogen 4</v>
      </c>
    </row>
    <row r="44" spans="1:8">
      <c r="A44" s="2" t="s">
        <v>130</v>
      </c>
      <c r="B44" s="2" t="s">
        <v>207</v>
      </c>
      <c r="C44" s="2" t="s">
        <v>234</v>
      </c>
      <c r="D44" s="2" t="s">
        <v>243</v>
      </c>
      <c r="E44" s="2" t="s">
        <v>248</v>
      </c>
      <c r="F44" s="2" t="s">
        <v>249</v>
      </c>
      <c r="G44" s="4">
        <f>SUM(pathogen_presence!B44:BX44)</f>
        <v>1</v>
      </c>
      <c r="H44" s="2" t="str">
        <f>IF(G44=0,"pathogen 0",IF(G44&lt;=5,"pathogen "&amp;G44,"pathogen &gt; 5"))</f>
        <v>pathogen 1</v>
      </c>
    </row>
    <row r="45" spans="1:8">
      <c r="A45" s="2" t="s">
        <v>131</v>
      </c>
      <c r="B45" s="2" t="s">
        <v>207</v>
      </c>
      <c r="C45" s="2" t="s">
        <v>234</v>
      </c>
      <c r="D45" s="2" t="s">
        <v>243</v>
      </c>
      <c r="E45" s="2" t="s">
        <v>248</v>
      </c>
      <c r="F45" s="2" t="s">
        <v>249</v>
      </c>
      <c r="G45" s="4">
        <f>SUM(pathogen_presence!B45:BX45)</f>
        <v>0</v>
      </c>
      <c r="H45" s="2" t="str">
        <f>IF(G45=0,"pathogen 0",IF(G45&lt;=5,"pathogen "&amp;G45,"pathogen &gt; 5"))</f>
        <v>pathogen 0</v>
      </c>
    </row>
    <row r="46" spans="1:8">
      <c r="A46" s="2" t="s">
        <v>132</v>
      </c>
      <c r="B46" s="2" t="s">
        <v>207</v>
      </c>
      <c r="C46" s="2" t="s">
        <v>234</v>
      </c>
      <c r="D46" s="2" t="s">
        <v>238</v>
      </c>
      <c r="E46" s="2" t="s">
        <v>250</v>
      </c>
      <c r="F46" s="2" t="s">
        <v>251</v>
      </c>
      <c r="G46" s="4">
        <f>SUM(pathogen_presence!B46:BX46)</f>
        <v>3</v>
      </c>
      <c r="H46" s="2" t="str">
        <f>IF(G46=0,"pathogen 0",IF(G46&lt;=5,"pathogen "&amp;G46,"pathogen &gt; 5"))</f>
        <v>pathogen 3</v>
      </c>
    </row>
    <row r="47" spans="1:8">
      <c r="A47" s="2" t="s">
        <v>133</v>
      </c>
      <c r="B47" s="2" t="s">
        <v>207</v>
      </c>
      <c r="C47" s="2" t="s">
        <v>234</v>
      </c>
      <c r="D47" s="2" t="s">
        <v>238</v>
      </c>
      <c r="E47" s="2" t="s">
        <v>250</v>
      </c>
      <c r="F47" s="2" t="s">
        <v>251</v>
      </c>
      <c r="G47" s="4">
        <f>SUM(pathogen_presence!B47:BX47)</f>
        <v>0</v>
      </c>
      <c r="H47" s="2" t="str">
        <f>IF(G47=0,"pathogen 0",IF(G47&lt;=5,"pathogen "&amp;G47,"pathogen &gt; 5"))</f>
        <v>pathogen 0</v>
      </c>
    </row>
    <row r="48" spans="1:8">
      <c r="A48" s="2" t="s">
        <v>134</v>
      </c>
      <c r="B48" s="2" t="s">
        <v>207</v>
      </c>
      <c r="C48" s="2" t="s">
        <v>234</v>
      </c>
      <c r="D48" s="2" t="s">
        <v>238</v>
      </c>
      <c r="E48" s="2" t="s">
        <v>250</v>
      </c>
      <c r="F48" s="2" t="s">
        <v>251</v>
      </c>
      <c r="G48" s="4">
        <f>SUM(pathogen_presence!B48:BX48)</f>
        <v>3</v>
      </c>
      <c r="H48" s="2" t="str">
        <f>IF(G48=0,"pathogen 0",IF(G48&lt;=5,"pathogen "&amp;G48,"pathogen &gt; 5"))</f>
        <v>pathogen 3</v>
      </c>
    </row>
    <row r="49" spans="1:8">
      <c r="A49" s="2" t="s">
        <v>135</v>
      </c>
      <c r="B49" s="2" t="s">
        <v>207</v>
      </c>
      <c r="C49" s="2" t="s">
        <v>234</v>
      </c>
      <c r="D49" s="2" t="s">
        <v>235</v>
      </c>
      <c r="E49" s="2" t="s">
        <v>252</v>
      </c>
      <c r="F49" s="2" t="s">
        <v>253</v>
      </c>
      <c r="G49" s="4">
        <f>SUM(pathogen_presence!B49:BX49)</f>
        <v>1</v>
      </c>
      <c r="H49" s="2" t="str">
        <f>IF(G49=0,"pathogen 0",IF(G49&lt;=5,"pathogen "&amp;G49,"pathogen &gt; 5"))</f>
        <v>pathogen 1</v>
      </c>
    </row>
    <row r="50" spans="1:8">
      <c r="A50" s="2" t="s">
        <v>136</v>
      </c>
      <c r="B50" s="2" t="s">
        <v>207</v>
      </c>
      <c r="C50" s="2" t="s">
        <v>234</v>
      </c>
      <c r="D50" s="2" t="s">
        <v>235</v>
      </c>
      <c r="E50" s="2" t="s">
        <v>252</v>
      </c>
      <c r="F50" s="2" t="s">
        <v>253</v>
      </c>
      <c r="G50" s="4">
        <f>SUM(pathogen_presence!B50:BX50)</f>
        <v>1</v>
      </c>
      <c r="H50" s="2" t="str">
        <f>IF(G50=0,"pathogen 0",IF(G50&lt;=5,"pathogen "&amp;G50,"pathogen &gt; 5"))</f>
        <v>pathogen 1</v>
      </c>
    </row>
    <row r="51" spans="1:8">
      <c r="A51" s="2" t="s">
        <v>137</v>
      </c>
      <c r="B51" s="2" t="s">
        <v>207</v>
      </c>
      <c r="C51" s="2" t="s">
        <v>234</v>
      </c>
      <c r="D51" s="2" t="s">
        <v>235</v>
      </c>
      <c r="E51" s="2" t="s">
        <v>252</v>
      </c>
      <c r="F51" s="2" t="s">
        <v>253</v>
      </c>
      <c r="G51" s="4">
        <f>SUM(pathogen_presence!B51:BX51)</f>
        <v>1</v>
      </c>
      <c r="H51" s="2" t="str">
        <f>IF(G51=0,"pathogen 0",IF(G51&lt;=5,"pathogen "&amp;G51,"pathogen &gt; 5"))</f>
        <v>pathogen 1</v>
      </c>
    </row>
    <row r="52" spans="1:8">
      <c r="A52" s="2" t="s">
        <v>138</v>
      </c>
      <c r="B52" s="2" t="s">
        <v>207</v>
      </c>
      <c r="C52" s="2" t="s">
        <v>234</v>
      </c>
      <c r="D52" s="2" t="s">
        <v>238</v>
      </c>
      <c r="E52" s="2" t="s">
        <v>254</v>
      </c>
      <c r="F52" s="2" t="s">
        <v>255</v>
      </c>
      <c r="G52" s="4">
        <f>SUM(pathogen_presence!B52:BX52)</f>
        <v>0</v>
      </c>
      <c r="H52" s="2" t="str">
        <f>IF(G52=0,"pathogen 0",IF(G52&lt;=5,"pathogen "&amp;G52,"pathogen &gt; 5"))</f>
        <v>pathogen 0</v>
      </c>
    </row>
    <row r="53" spans="1:8">
      <c r="A53" s="2" t="s">
        <v>139</v>
      </c>
      <c r="B53" s="2" t="s">
        <v>207</v>
      </c>
      <c r="C53" s="2" t="s">
        <v>234</v>
      </c>
      <c r="D53" s="2" t="s">
        <v>238</v>
      </c>
      <c r="E53" s="2" t="s">
        <v>256</v>
      </c>
      <c r="F53" s="2" t="s">
        <v>257</v>
      </c>
      <c r="G53" s="4">
        <f>SUM(pathogen_presence!B53:BX53)</f>
        <v>0</v>
      </c>
      <c r="H53" s="2" t="str">
        <f>IF(G53=0,"pathogen 0",IF(G53&lt;=5,"pathogen "&amp;G53,"pathogen &gt; 5"))</f>
        <v>pathogen 0</v>
      </c>
    </row>
    <row r="54" spans="1:8">
      <c r="A54" s="2" t="s">
        <v>140</v>
      </c>
      <c r="B54" s="2" t="s">
        <v>207</v>
      </c>
      <c r="C54" s="2" t="s">
        <v>234</v>
      </c>
      <c r="D54" s="2" t="s">
        <v>238</v>
      </c>
      <c r="E54" s="2" t="s">
        <v>256</v>
      </c>
      <c r="F54" s="2" t="s">
        <v>257</v>
      </c>
      <c r="G54" s="4">
        <f>SUM(pathogen_presence!B54:BX54)</f>
        <v>0</v>
      </c>
      <c r="H54" s="2" t="str">
        <f>IF(G54=0,"pathogen 0",IF(G54&lt;=5,"pathogen "&amp;G54,"pathogen &gt; 5"))</f>
        <v>pathogen 0</v>
      </c>
    </row>
    <row r="55" spans="1:8">
      <c r="A55" s="2" t="s">
        <v>141</v>
      </c>
      <c r="B55" s="2" t="s">
        <v>207</v>
      </c>
      <c r="C55" s="2" t="s">
        <v>234</v>
      </c>
      <c r="D55" s="2" t="s">
        <v>235</v>
      </c>
      <c r="E55" s="2" t="s">
        <v>258</v>
      </c>
      <c r="F55" s="2" t="s">
        <v>259</v>
      </c>
      <c r="G55" s="4">
        <f>SUM(pathogen_presence!B55:BX55)</f>
        <v>1</v>
      </c>
      <c r="H55" s="2" t="str">
        <f>IF(G55=0,"pathogen 0",IF(G55&lt;=5,"pathogen "&amp;G55,"pathogen &gt; 5"))</f>
        <v>pathogen 1</v>
      </c>
    </row>
    <row r="56" spans="1:8">
      <c r="A56" s="2" t="s">
        <v>142</v>
      </c>
      <c r="B56" s="2" t="s">
        <v>207</v>
      </c>
      <c r="C56" s="2" t="s">
        <v>234</v>
      </c>
      <c r="D56" s="2" t="s">
        <v>235</v>
      </c>
      <c r="E56" s="2" t="s">
        <v>260</v>
      </c>
      <c r="F56" s="2" t="s">
        <v>261</v>
      </c>
      <c r="G56" s="4">
        <f>SUM(pathogen_presence!B56:BX56)</f>
        <v>0</v>
      </c>
      <c r="H56" s="2" t="str">
        <f>IF(G56=0,"pathogen 0",IF(G56&lt;=5,"pathogen "&amp;G56,"pathogen &gt; 5"))</f>
        <v>pathogen 0</v>
      </c>
    </row>
    <row r="57" spans="1:8">
      <c r="A57" s="2" t="s">
        <v>143</v>
      </c>
      <c r="B57" s="2" t="s">
        <v>207</v>
      </c>
      <c r="C57" s="2" t="s">
        <v>234</v>
      </c>
      <c r="D57" s="2" t="s">
        <v>235</v>
      </c>
      <c r="E57" s="2" t="s">
        <v>260</v>
      </c>
      <c r="F57" s="2" t="s">
        <v>261</v>
      </c>
      <c r="G57" s="4">
        <f>SUM(pathogen_presence!B57:BX57)</f>
        <v>1</v>
      </c>
      <c r="H57" s="2" t="str">
        <f>IF(G57=0,"pathogen 0",IF(G57&lt;=5,"pathogen "&amp;G57,"pathogen &gt; 5"))</f>
        <v>pathogen 1</v>
      </c>
    </row>
    <row r="58" spans="1:8">
      <c r="A58" s="2" t="s">
        <v>144</v>
      </c>
      <c r="B58" s="2" t="s">
        <v>207</v>
      </c>
      <c r="C58" s="2" t="s">
        <v>262</v>
      </c>
      <c r="D58" s="2" t="s">
        <v>263</v>
      </c>
      <c r="E58" s="2" t="s">
        <v>264</v>
      </c>
      <c r="F58" s="2" t="s">
        <v>265</v>
      </c>
      <c r="G58" s="4">
        <f>SUM(pathogen_presence!B58:BX58)</f>
        <v>1</v>
      </c>
      <c r="H58" s="2" t="str">
        <f>IF(G58=0,"pathogen 0",IF(G58&lt;=5,"pathogen "&amp;G58,"pathogen &gt; 5"))</f>
        <v>pathogen 1</v>
      </c>
    </row>
    <row r="59" spans="1:8">
      <c r="A59" s="2" t="s">
        <v>145</v>
      </c>
      <c r="B59" s="2" t="s">
        <v>207</v>
      </c>
      <c r="C59" s="2" t="s">
        <v>262</v>
      </c>
      <c r="D59" s="2" t="s">
        <v>263</v>
      </c>
      <c r="E59" s="2" t="s">
        <v>264</v>
      </c>
      <c r="F59" s="2" t="s">
        <v>265</v>
      </c>
      <c r="G59" s="4">
        <f>SUM(pathogen_presence!B59:BX59)</f>
        <v>1</v>
      </c>
      <c r="H59" s="2" t="str">
        <f>IF(G59=0,"pathogen 0",IF(G59&lt;=5,"pathogen "&amp;G59,"pathogen &gt; 5"))</f>
        <v>pathogen 1</v>
      </c>
    </row>
    <row r="60" spans="1:8">
      <c r="A60" s="2" t="s">
        <v>146</v>
      </c>
      <c r="B60" s="2" t="s">
        <v>207</v>
      </c>
      <c r="C60" s="2" t="s">
        <v>262</v>
      </c>
      <c r="D60" s="2" t="s">
        <v>263</v>
      </c>
      <c r="E60" s="2" t="s">
        <v>264</v>
      </c>
      <c r="F60" s="2" t="s">
        <v>265</v>
      </c>
      <c r="G60" s="4">
        <f>SUM(pathogen_presence!B60:BX60)</f>
        <v>0</v>
      </c>
      <c r="H60" s="2" t="str">
        <f>IF(G60=0,"pathogen 0",IF(G60&lt;=5,"pathogen "&amp;G60,"pathogen &gt; 5"))</f>
        <v>pathogen 0</v>
      </c>
    </row>
    <row r="61" spans="1:8">
      <c r="A61" s="2" t="s">
        <v>147</v>
      </c>
      <c r="B61" s="2" t="s">
        <v>207</v>
      </c>
      <c r="C61" s="2" t="s">
        <v>262</v>
      </c>
      <c r="D61" s="2" t="s">
        <v>266</v>
      </c>
      <c r="E61" s="2" t="s">
        <v>267</v>
      </c>
      <c r="F61" s="2" t="s">
        <v>268</v>
      </c>
      <c r="G61" s="4">
        <f>SUM(pathogen_presence!B61:BX61)</f>
        <v>1</v>
      </c>
      <c r="H61" s="2" t="str">
        <f>IF(G61=0,"pathogen 0",IF(G61&lt;=5,"pathogen "&amp;G61,"pathogen &gt; 5"))</f>
        <v>pathogen 1</v>
      </c>
    </row>
    <row r="62" spans="1:8">
      <c r="A62" s="2" t="s">
        <v>148</v>
      </c>
      <c r="B62" s="2" t="s">
        <v>207</v>
      </c>
      <c r="C62" s="2" t="s">
        <v>262</v>
      </c>
      <c r="D62" s="2" t="s">
        <v>266</v>
      </c>
      <c r="E62" s="2" t="s">
        <v>267</v>
      </c>
      <c r="F62" s="2" t="s">
        <v>268</v>
      </c>
      <c r="G62" s="4">
        <f>SUM(pathogen_presence!B62:BX62)</f>
        <v>0</v>
      </c>
      <c r="H62" s="2" t="str">
        <f>IF(G62=0,"pathogen 0",IF(G62&lt;=5,"pathogen "&amp;G62,"pathogen &gt; 5"))</f>
        <v>pathogen 0</v>
      </c>
    </row>
    <row r="63" spans="1:8">
      <c r="A63" s="2" t="s">
        <v>149</v>
      </c>
      <c r="B63" s="2" t="s">
        <v>207</v>
      </c>
      <c r="C63" s="2" t="s">
        <v>262</v>
      </c>
      <c r="D63" s="2" t="s">
        <v>266</v>
      </c>
      <c r="E63" s="2" t="s">
        <v>267</v>
      </c>
      <c r="F63" s="2" t="s">
        <v>268</v>
      </c>
      <c r="G63" s="4">
        <f>SUM(pathogen_presence!B63:BX63)</f>
        <v>1</v>
      </c>
      <c r="H63" s="2" t="str">
        <f>IF(G63=0,"pathogen 0",IF(G63&lt;=5,"pathogen "&amp;G63,"pathogen &gt; 5"))</f>
        <v>pathogen 1</v>
      </c>
    </row>
    <row r="64" spans="1:8">
      <c r="A64" s="2" t="s">
        <v>150</v>
      </c>
      <c r="B64" s="2" t="s">
        <v>207</v>
      </c>
      <c r="C64" s="2" t="s">
        <v>262</v>
      </c>
      <c r="D64" s="2" t="s">
        <v>263</v>
      </c>
      <c r="E64" s="2" t="s">
        <v>269</v>
      </c>
      <c r="F64" s="2" t="s">
        <v>270</v>
      </c>
      <c r="G64" s="4">
        <f>SUM(pathogen_presence!B64:BX64)</f>
        <v>1</v>
      </c>
      <c r="H64" s="2" t="str">
        <f>IF(G64=0,"pathogen 0",IF(G64&lt;=5,"pathogen "&amp;G64,"pathogen &gt; 5"))</f>
        <v>pathogen 1</v>
      </c>
    </row>
    <row r="65" spans="1:8">
      <c r="A65" s="2" t="s">
        <v>151</v>
      </c>
      <c r="B65" s="2" t="s">
        <v>207</v>
      </c>
      <c r="C65" s="2" t="s">
        <v>262</v>
      </c>
      <c r="D65" s="2" t="s">
        <v>263</v>
      </c>
      <c r="E65" s="2" t="s">
        <v>269</v>
      </c>
      <c r="F65" s="2" t="s">
        <v>270</v>
      </c>
      <c r="G65" s="4">
        <f>SUM(pathogen_presence!B65:BX65)</f>
        <v>0</v>
      </c>
      <c r="H65" s="2" t="str">
        <f>IF(G65=0,"pathogen 0",IF(G65&lt;=5,"pathogen "&amp;G65,"pathogen &gt; 5"))</f>
        <v>pathogen 0</v>
      </c>
    </row>
    <row r="66" spans="1:8">
      <c r="A66" s="2" t="s">
        <v>152</v>
      </c>
      <c r="B66" s="2" t="s">
        <v>207</v>
      </c>
      <c r="C66" s="2" t="s">
        <v>262</v>
      </c>
      <c r="D66" s="2" t="s">
        <v>271</v>
      </c>
      <c r="E66" s="2" t="s">
        <v>272</v>
      </c>
      <c r="F66" s="2" t="s">
        <v>273</v>
      </c>
      <c r="G66" s="4">
        <f>SUM(pathogen_presence!B66:BX66)</f>
        <v>1</v>
      </c>
      <c r="H66" s="2" t="str">
        <f>IF(G66=0,"pathogen 0",IF(G66&lt;=5,"pathogen "&amp;G66,"pathogen &gt; 5"))</f>
        <v>pathogen 1</v>
      </c>
    </row>
    <row r="67" spans="1:8">
      <c r="A67" s="2" t="s">
        <v>153</v>
      </c>
      <c r="B67" s="2" t="s">
        <v>207</v>
      </c>
      <c r="C67" s="2" t="s">
        <v>262</v>
      </c>
      <c r="D67" s="2" t="s">
        <v>271</v>
      </c>
      <c r="E67" s="2" t="s">
        <v>272</v>
      </c>
      <c r="F67" s="2" t="s">
        <v>273</v>
      </c>
      <c r="G67" s="4">
        <f>SUM(pathogen_presence!B67:BX67)</f>
        <v>2</v>
      </c>
      <c r="H67" s="2" t="str">
        <f>IF(G67=0,"pathogen 0",IF(G67&lt;=5,"pathogen "&amp;G67,"pathogen &gt; 5"))</f>
        <v>pathogen 2</v>
      </c>
    </row>
    <row r="68" spans="1:8">
      <c r="A68" s="2" t="s">
        <v>154</v>
      </c>
      <c r="B68" s="2" t="s">
        <v>207</v>
      </c>
      <c r="C68" s="2" t="s">
        <v>262</v>
      </c>
      <c r="D68" s="2" t="s">
        <v>271</v>
      </c>
      <c r="E68" s="2" t="s">
        <v>274</v>
      </c>
      <c r="F68" s="2" t="s">
        <v>275</v>
      </c>
      <c r="G68" s="4">
        <f>SUM(pathogen_presence!B68:BX68)</f>
        <v>0</v>
      </c>
      <c r="H68" s="2" t="str">
        <f>IF(G68=0,"pathogen 0",IF(G68&lt;=5,"pathogen "&amp;G68,"pathogen &gt; 5"))</f>
        <v>pathogen 0</v>
      </c>
    </row>
    <row r="69" spans="1:8">
      <c r="A69" s="2" t="s">
        <v>155</v>
      </c>
      <c r="B69" s="2" t="s">
        <v>207</v>
      </c>
      <c r="C69" s="2" t="s">
        <v>262</v>
      </c>
      <c r="D69" s="2" t="s">
        <v>263</v>
      </c>
      <c r="E69" s="2" t="s">
        <v>276</v>
      </c>
      <c r="F69" s="2" t="s">
        <v>277</v>
      </c>
      <c r="G69" s="4">
        <f>SUM(pathogen_presence!B69:BX69)</f>
        <v>1</v>
      </c>
      <c r="H69" s="2" t="str">
        <f>IF(G69=0,"pathogen 0",IF(G69&lt;=5,"pathogen "&amp;G69,"pathogen &gt; 5"))</f>
        <v>pathogen 1</v>
      </c>
    </row>
    <row r="70" spans="1:8">
      <c r="A70" s="2" t="s">
        <v>156</v>
      </c>
      <c r="B70" s="2" t="s">
        <v>207</v>
      </c>
      <c r="C70" s="2" t="s">
        <v>262</v>
      </c>
      <c r="D70" s="2" t="s">
        <v>263</v>
      </c>
      <c r="E70" s="2" t="s">
        <v>276</v>
      </c>
      <c r="F70" s="2" t="s">
        <v>277</v>
      </c>
      <c r="G70" s="4">
        <f>SUM(pathogen_presence!B70:BX70)</f>
        <v>0</v>
      </c>
      <c r="H70" s="2" t="str">
        <f>IF(G70=0,"pathogen 0",IF(G70&lt;=5,"pathogen "&amp;G70,"pathogen &gt; 5"))</f>
        <v>pathogen 0</v>
      </c>
    </row>
    <row r="71" spans="1:8">
      <c r="A71" s="2" t="s">
        <v>157</v>
      </c>
      <c r="B71" s="2" t="s">
        <v>207</v>
      </c>
      <c r="C71" s="2" t="s">
        <v>262</v>
      </c>
      <c r="D71" s="2" t="s">
        <v>263</v>
      </c>
      <c r="E71" s="2" t="s">
        <v>276</v>
      </c>
      <c r="F71" s="2" t="s">
        <v>277</v>
      </c>
      <c r="G71" s="4">
        <f>SUM(pathogen_presence!B71:BX71)</f>
        <v>0</v>
      </c>
      <c r="H71" s="2" t="str">
        <f>IF(G71=0,"pathogen 0",IF(G71&lt;=5,"pathogen "&amp;G71,"pathogen &gt; 5"))</f>
        <v>pathogen 0</v>
      </c>
    </row>
    <row r="72" spans="1:8">
      <c r="A72" s="2" t="s">
        <v>158</v>
      </c>
      <c r="B72" s="2" t="s">
        <v>207</v>
      </c>
      <c r="C72" s="2" t="s">
        <v>262</v>
      </c>
      <c r="D72" s="2" t="s">
        <v>278</v>
      </c>
      <c r="E72" s="2" t="s">
        <v>279</v>
      </c>
      <c r="F72" s="2" t="s">
        <v>280</v>
      </c>
      <c r="G72" s="4">
        <f>SUM(pathogen_presence!B72:BX72)</f>
        <v>0</v>
      </c>
      <c r="H72" s="2" t="str">
        <f>IF(G72=0,"pathogen 0",IF(G72&lt;=5,"pathogen "&amp;G72,"pathogen &gt; 5"))</f>
        <v>pathogen 0</v>
      </c>
    </row>
    <row r="73" spans="1:8">
      <c r="A73" s="2" t="s">
        <v>159</v>
      </c>
      <c r="B73" s="2" t="s">
        <v>207</v>
      </c>
      <c r="C73" s="2" t="s">
        <v>262</v>
      </c>
      <c r="D73" s="2" t="s">
        <v>278</v>
      </c>
      <c r="E73" s="2" t="s">
        <v>279</v>
      </c>
      <c r="F73" s="2" t="s">
        <v>280</v>
      </c>
      <c r="G73" s="4">
        <f>SUM(pathogen_presence!B73:BX73)</f>
        <v>0</v>
      </c>
      <c r="H73" s="2" t="str">
        <f>IF(G73=0,"pathogen 0",IF(G73&lt;=5,"pathogen "&amp;G73,"pathogen &gt; 5"))</f>
        <v>pathogen 0</v>
      </c>
    </row>
    <row r="74" spans="1:8">
      <c r="A74" s="2" t="s">
        <v>160</v>
      </c>
      <c r="B74" s="2" t="s">
        <v>207</v>
      </c>
      <c r="C74" s="2" t="s">
        <v>281</v>
      </c>
      <c r="D74" s="2" t="s">
        <v>282</v>
      </c>
      <c r="E74" s="2" t="s">
        <v>283</v>
      </c>
      <c r="F74" s="2" t="s">
        <v>284</v>
      </c>
      <c r="G74" s="4">
        <f>SUM(pathogen_presence!B74:BX74)</f>
        <v>1</v>
      </c>
      <c r="H74" s="2" t="str">
        <f>IF(G74=0,"pathogen 0",IF(G74&lt;=5,"pathogen "&amp;G74,"pathogen &gt; 5"))</f>
        <v>pathogen 1</v>
      </c>
    </row>
    <row r="75" spans="1:8">
      <c r="A75" s="2" t="s">
        <v>161</v>
      </c>
      <c r="B75" s="2" t="s">
        <v>207</v>
      </c>
      <c r="C75" s="2" t="s">
        <v>281</v>
      </c>
      <c r="D75" s="2" t="s">
        <v>282</v>
      </c>
      <c r="E75" s="2" t="s">
        <v>283</v>
      </c>
      <c r="F75" s="2" t="s">
        <v>284</v>
      </c>
      <c r="G75" s="4">
        <f>SUM(pathogen_presence!B75:BX75)</f>
        <v>1</v>
      </c>
      <c r="H75" s="2" t="str">
        <f>IF(G75=0,"pathogen 0",IF(G75&lt;=5,"pathogen "&amp;G75,"pathogen &gt; 5"))</f>
        <v>pathogen 1</v>
      </c>
    </row>
    <row r="76" spans="1:8">
      <c r="A76" s="2" t="s">
        <v>162</v>
      </c>
      <c r="B76" s="2" t="s">
        <v>207</v>
      </c>
      <c r="C76" s="2" t="s">
        <v>281</v>
      </c>
      <c r="D76" s="2" t="s">
        <v>282</v>
      </c>
      <c r="E76" s="2" t="s">
        <v>283</v>
      </c>
      <c r="F76" s="2" t="s">
        <v>284</v>
      </c>
      <c r="G76" s="4">
        <f>SUM(pathogen_presence!B76:BX76)</f>
        <v>2</v>
      </c>
      <c r="H76" s="2" t="str">
        <f>IF(G76=0,"pathogen 0",IF(G76&lt;=5,"pathogen "&amp;G76,"pathogen &gt; 5"))</f>
        <v>pathogen 2</v>
      </c>
    </row>
    <row r="77" spans="1:8">
      <c r="A77" s="2" t="s">
        <v>163</v>
      </c>
      <c r="B77" s="2" t="s">
        <v>207</v>
      </c>
      <c r="C77" s="2" t="s">
        <v>285</v>
      </c>
      <c r="D77" s="2" t="s">
        <v>286</v>
      </c>
      <c r="E77" s="2" t="s">
        <v>287</v>
      </c>
      <c r="F77" s="2" t="s">
        <v>288</v>
      </c>
      <c r="G77" s="4">
        <f>SUM(pathogen_presence!B77:BX77)</f>
        <v>1</v>
      </c>
      <c r="H77" s="2" t="str">
        <f>IF(G77=0,"pathogen 0",IF(G77&lt;=5,"pathogen "&amp;G77,"pathogen &gt; 5"))</f>
        <v>pathogen 1</v>
      </c>
    </row>
    <row r="78" spans="1:8">
      <c r="A78" s="2" t="s">
        <v>164</v>
      </c>
      <c r="B78" s="2" t="s">
        <v>207</v>
      </c>
      <c r="C78" s="2" t="s">
        <v>285</v>
      </c>
      <c r="D78" s="2" t="s">
        <v>286</v>
      </c>
      <c r="E78" s="2" t="s">
        <v>287</v>
      </c>
      <c r="F78" s="2" t="s">
        <v>288</v>
      </c>
      <c r="G78" s="4">
        <f>SUM(pathogen_presence!B78:BX78)</f>
        <v>1</v>
      </c>
      <c r="H78" s="2" t="str">
        <f>IF(G78=0,"pathogen 0",IF(G78&lt;=5,"pathogen "&amp;G78,"pathogen &gt; 5"))</f>
        <v>pathogen 1</v>
      </c>
    </row>
    <row r="79" spans="1:8">
      <c r="A79" s="2" t="s">
        <v>165</v>
      </c>
      <c r="B79" s="2" t="s">
        <v>207</v>
      </c>
      <c r="C79" s="2" t="s">
        <v>285</v>
      </c>
      <c r="D79" s="2" t="s">
        <v>286</v>
      </c>
      <c r="E79" s="2" t="s">
        <v>287</v>
      </c>
      <c r="F79" s="2" t="s">
        <v>288</v>
      </c>
      <c r="G79" s="4">
        <f>SUM(pathogen_presence!B79:BX79)</f>
        <v>2</v>
      </c>
      <c r="H79" s="2" t="str">
        <f>IF(G79=0,"pathogen 0",IF(G79&lt;=5,"pathogen "&amp;G79,"pathogen &gt; 5"))</f>
        <v>pathogen 2</v>
      </c>
    </row>
    <row r="80" spans="1:8">
      <c r="A80" s="2" t="s">
        <v>166</v>
      </c>
      <c r="B80" s="2" t="s">
        <v>207</v>
      </c>
      <c r="C80" s="2" t="s">
        <v>289</v>
      </c>
      <c r="D80" s="2" t="s">
        <v>290</v>
      </c>
      <c r="E80" s="2" t="s">
        <v>291</v>
      </c>
      <c r="F80" s="2" t="s">
        <v>292</v>
      </c>
      <c r="G80" s="4">
        <f>SUM(pathogen_presence!B80:BX80)</f>
        <v>1</v>
      </c>
      <c r="H80" s="2" t="str">
        <f>IF(G80=0,"pathogen 0",IF(G80&lt;=5,"pathogen "&amp;G80,"pathogen &gt; 5"))</f>
        <v>pathogen 1</v>
      </c>
    </row>
    <row r="81" spans="1:8">
      <c r="A81" s="2" t="s">
        <v>167</v>
      </c>
      <c r="B81" s="2" t="s">
        <v>207</v>
      </c>
      <c r="C81" s="2" t="s">
        <v>289</v>
      </c>
      <c r="D81" s="2" t="s">
        <v>290</v>
      </c>
      <c r="E81" s="2" t="s">
        <v>291</v>
      </c>
      <c r="F81" s="2" t="s">
        <v>292</v>
      </c>
      <c r="G81" s="4">
        <f>SUM(pathogen_presence!B81:BX81)</f>
        <v>1</v>
      </c>
      <c r="H81" s="2" t="str">
        <f>IF(G81=0,"pathogen 0",IF(G81&lt;=5,"pathogen "&amp;G81,"pathogen &gt; 5"))</f>
        <v>pathogen 1</v>
      </c>
    </row>
    <row r="82" spans="1:8">
      <c r="A82" s="2" t="s">
        <v>168</v>
      </c>
      <c r="B82" s="2" t="s">
        <v>207</v>
      </c>
      <c r="C82" s="2" t="s">
        <v>289</v>
      </c>
      <c r="D82" s="2" t="s">
        <v>290</v>
      </c>
      <c r="E82" s="2" t="s">
        <v>291</v>
      </c>
      <c r="F82" s="2" t="s">
        <v>292</v>
      </c>
      <c r="G82" s="4">
        <f>SUM(pathogen_presence!B82:BX82)</f>
        <v>0</v>
      </c>
      <c r="H82" s="2" t="str">
        <f>IF(G82=0,"pathogen 0",IF(G82&lt;=5,"pathogen "&amp;G82,"pathogen &gt; 5"))</f>
        <v>pathogen 0</v>
      </c>
    </row>
    <row r="83" spans="1:8">
      <c r="A83" s="2" t="s">
        <v>169</v>
      </c>
      <c r="B83" s="2" t="s">
        <v>207</v>
      </c>
      <c r="C83" s="2" t="s">
        <v>289</v>
      </c>
      <c r="D83" s="2" t="s">
        <v>290</v>
      </c>
      <c r="E83" s="2" t="s">
        <v>293</v>
      </c>
      <c r="F83" s="2" t="s">
        <v>294</v>
      </c>
      <c r="G83" s="4">
        <f>SUM(pathogen_presence!B83:BX83)</f>
        <v>0</v>
      </c>
      <c r="H83" s="2" t="str">
        <f>IF(G83=0,"pathogen 0",IF(G83&lt;=5,"pathogen "&amp;G83,"pathogen &gt; 5"))</f>
        <v>pathogen 0</v>
      </c>
    </row>
    <row r="84" spans="1:8">
      <c r="A84" s="2" t="s">
        <v>170</v>
      </c>
      <c r="B84" s="2" t="s">
        <v>207</v>
      </c>
      <c r="C84" s="2" t="s">
        <v>295</v>
      </c>
      <c r="D84" s="2" t="s">
        <v>296</v>
      </c>
      <c r="E84" s="2" t="s">
        <v>297</v>
      </c>
      <c r="F84" s="2" t="s">
        <v>298</v>
      </c>
      <c r="G84" s="4">
        <f>SUM(pathogen_presence!B84:BX84)</f>
        <v>1</v>
      </c>
      <c r="H84" s="2" t="str">
        <f>IF(G84=0,"pathogen 0",IF(G84&lt;=5,"pathogen "&amp;G84,"pathogen &gt; 5"))</f>
        <v>pathogen 1</v>
      </c>
    </row>
    <row r="85" spans="1:8">
      <c r="A85" s="2" t="s">
        <v>171</v>
      </c>
      <c r="B85" s="2" t="s">
        <v>207</v>
      </c>
      <c r="C85" s="2" t="s">
        <v>295</v>
      </c>
      <c r="D85" s="2" t="s">
        <v>296</v>
      </c>
      <c r="E85" s="2" t="s">
        <v>297</v>
      </c>
      <c r="F85" s="2" t="s">
        <v>298</v>
      </c>
      <c r="G85" s="4">
        <f>SUM(pathogen_presence!B85:BX85)</f>
        <v>5</v>
      </c>
      <c r="H85" s="2" t="str">
        <f>IF(G85=0,"pathogen 0",IF(G85&lt;=5,"pathogen "&amp;G85,"pathogen &gt; 5"))</f>
        <v>pathogen 5</v>
      </c>
    </row>
    <row r="86" spans="1:8">
      <c r="A86" s="2" t="s">
        <v>172</v>
      </c>
      <c r="B86" s="2" t="s">
        <v>207</v>
      </c>
      <c r="C86" s="2" t="s">
        <v>295</v>
      </c>
      <c r="D86" s="2" t="s">
        <v>296</v>
      </c>
      <c r="E86" s="2" t="s">
        <v>297</v>
      </c>
      <c r="F86" s="2" t="s">
        <v>298</v>
      </c>
      <c r="G86" s="4">
        <f>SUM(pathogen_presence!B86:BX86)</f>
        <v>3</v>
      </c>
      <c r="H86" s="2" t="str">
        <f>IF(G86=0,"pathogen 0",IF(G86&lt;=5,"pathogen "&amp;G86,"pathogen &gt; 5"))</f>
        <v>pathogen 3</v>
      </c>
    </row>
    <row r="87" spans="1:8">
      <c r="A87" s="2" t="s">
        <v>173</v>
      </c>
      <c r="B87" s="2" t="s">
        <v>207</v>
      </c>
      <c r="C87" s="2" t="s">
        <v>299</v>
      </c>
      <c r="D87" s="2" t="s">
        <v>300</v>
      </c>
      <c r="E87" s="2" t="s">
        <v>301</v>
      </c>
      <c r="F87" s="2" t="s">
        <v>302</v>
      </c>
      <c r="G87" s="4">
        <f>SUM(pathogen_presence!B87:BX87)</f>
        <v>1</v>
      </c>
      <c r="H87" s="2" t="str">
        <f>IF(G87=0,"pathogen 0",IF(G87&lt;=5,"pathogen "&amp;G87,"pathogen &gt; 5"))</f>
        <v>pathogen 1</v>
      </c>
    </row>
    <row r="88" spans="1:8">
      <c r="A88" s="2" t="s">
        <v>174</v>
      </c>
      <c r="B88" s="2" t="s">
        <v>207</v>
      </c>
      <c r="C88" s="2" t="s">
        <v>299</v>
      </c>
      <c r="D88" s="2" t="s">
        <v>300</v>
      </c>
      <c r="E88" s="2" t="s">
        <v>303</v>
      </c>
      <c r="F88" s="2" t="s">
        <v>304</v>
      </c>
      <c r="G88" s="4">
        <f>SUM(pathogen_presence!B88:BX88)</f>
        <v>1</v>
      </c>
      <c r="H88" s="2" t="str">
        <f>IF(G88=0,"pathogen 0",IF(G88&lt;=5,"pathogen "&amp;G88,"pathogen &gt; 5"))</f>
        <v>pathogen 1</v>
      </c>
    </row>
    <row r="89" spans="1:8">
      <c r="A89" s="2" t="s">
        <v>175</v>
      </c>
      <c r="B89" s="2" t="s">
        <v>207</v>
      </c>
      <c r="C89" s="2" t="s">
        <v>299</v>
      </c>
      <c r="D89" s="2" t="s">
        <v>300</v>
      </c>
      <c r="E89" s="2" t="s">
        <v>303</v>
      </c>
      <c r="F89" s="2" t="s">
        <v>304</v>
      </c>
      <c r="G89" s="4">
        <f>SUM(pathogen_presence!B89:BX89)</f>
        <v>2</v>
      </c>
      <c r="H89" s="2" t="str">
        <f>IF(G89=0,"pathogen 0",IF(G89&lt;=5,"pathogen "&amp;G89,"pathogen &gt; 5"))</f>
        <v>pathogen 2</v>
      </c>
    </row>
    <row r="90" spans="1:8">
      <c r="A90" s="2" t="s">
        <v>176</v>
      </c>
      <c r="B90" s="2" t="s">
        <v>207</v>
      </c>
      <c r="C90" s="2" t="s">
        <v>305</v>
      </c>
      <c r="D90" s="2" t="s">
        <v>306</v>
      </c>
      <c r="E90" s="2" t="s">
        <v>307</v>
      </c>
      <c r="F90" s="2" t="s">
        <v>308</v>
      </c>
      <c r="G90" s="4">
        <f>SUM(pathogen_presence!B90:BX90)</f>
        <v>1</v>
      </c>
      <c r="H90" s="2" t="str">
        <f>IF(G90=0,"pathogen 0",IF(G90&lt;=5,"pathogen "&amp;G90,"pathogen &gt; 5"))</f>
        <v>pathogen 1</v>
      </c>
    </row>
    <row r="91" spans="1:8">
      <c r="A91" s="2" t="s">
        <v>177</v>
      </c>
      <c r="B91" s="2" t="s">
        <v>207</v>
      </c>
      <c r="C91" s="2" t="s">
        <v>309</v>
      </c>
      <c r="D91" s="2" t="s">
        <v>310</v>
      </c>
      <c r="E91" s="2" t="s">
        <v>311</v>
      </c>
      <c r="F91" s="2" t="s">
        <v>312</v>
      </c>
      <c r="G91" s="4">
        <f>SUM(pathogen_presence!B91:BX91)</f>
        <v>1</v>
      </c>
      <c r="H91" s="2" t="str">
        <f>IF(G91=0,"pathogen 0",IF(G91&lt;=5,"pathogen "&amp;G91,"pathogen &gt; 5"))</f>
        <v>pathogen 1</v>
      </c>
    </row>
    <row r="92" spans="1:8">
      <c r="A92" s="2" t="s">
        <v>178</v>
      </c>
      <c r="B92" s="2" t="s">
        <v>207</v>
      </c>
      <c r="C92" s="2" t="s">
        <v>309</v>
      </c>
      <c r="D92" s="2" t="s">
        <v>310</v>
      </c>
      <c r="E92" s="2" t="s">
        <v>311</v>
      </c>
      <c r="F92" s="2" t="s">
        <v>312</v>
      </c>
      <c r="G92" s="4">
        <f>SUM(pathogen_presence!B92:BX92)</f>
        <v>1</v>
      </c>
      <c r="H92" s="2" t="str">
        <f>IF(G92=0,"pathogen 0",IF(G92&lt;=5,"pathogen "&amp;G92,"pathogen &gt; 5"))</f>
        <v>pathogen 1</v>
      </c>
    </row>
    <row r="93" spans="1:8">
      <c r="A93" s="2" t="s">
        <v>179</v>
      </c>
      <c r="B93" s="2" t="s">
        <v>207</v>
      </c>
      <c r="C93" s="2" t="s">
        <v>309</v>
      </c>
      <c r="D93" s="2" t="s">
        <v>310</v>
      </c>
      <c r="E93" s="2" t="s">
        <v>311</v>
      </c>
      <c r="F93" s="2" t="s">
        <v>312</v>
      </c>
      <c r="G93" s="4">
        <f>SUM(pathogen_presence!B93:BX93)</f>
        <v>3</v>
      </c>
      <c r="H93" s="2" t="str">
        <f>IF(G93=0,"pathogen 0",IF(G93&lt;=5,"pathogen "&amp;G93,"pathogen &gt; 5"))</f>
        <v>pathogen 3</v>
      </c>
    </row>
    <row r="94" spans="1:8">
      <c r="A94" s="2" t="s">
        <v>180</v>
      </c>
      <c r="B94" s="2" t="s">
        <v>207</v>
      </c>
      <c r="C94" s="2" t="s">
        <v>309</v>
      </c>
      <c r="D94" s="2" t="s">
        <v>313</v>
      </c>
      <c r="E94" s="2" t="s">
        <v>314</v>
      </c>
      <c r="F94" s="2" t="s">
        <v>315</v>
      </c>
      <c r="G94" s="4">
        <f>SUM(pathogen_presence!B94:BX94)</f>
        <v>4</v>
      </c>
      <c r="H94" s="2" t="str">
        <f>IF(G94=0,"pathogen 0",IF(G94&lt;=5,"pathogen "&amp;G94,"pathogen &gt; 5"))</f>
        <v>pathogen 4</v>
      </c>
    </row>
    <row r="95" spans="1:8">
      <c r="A95" s="2" t="s">
        <v>181</v>
      </c>
      <c r="B95" s="2" t="s">
        <v>207</v>
      </c>
      <c r="C95" s="2" t="s">
        <v>309</v>
      </c>
      <c r="D95" s="2" t="s">
        <v>313</v>
      </c>
      <c r="E95" s="2" t="s">
        <v>314</v>
      </c>
      <c r="F95" s="2" t="s">
        <v>315</v>
      </c>
      <c r="G95" s="4">
        <f>SUM(pathogen_presence!B95:BX95)</f>
        <v>2</v>
      </c>
      <c r="H95" s="2" t="str">
        <f>IF(G95=0,"pathogen 0",IF(G95&lt;=5,"pathogen "&amp;G95,"pathogen &gt; 5"))</f>
        <v>pathogen 2</v>
      </c>
    </row>
    <row r="96" spans="1:8">
      <c r="A96" s="2" t="s">
        <v>182</v>
      </c>
      <c r="B96" s="2" t="s">
        <v>207</v>
      </c>
      <c r="C96" s="2" t="s">
        <v>309</v>
      </c>
      <c r="D96" s="2" t="s">
        <v>313</v>
      </c>
      <c r="E96" s="2" t="s">
        <v>314</v>
      </c>
      <c r="F96" s="2" t="s">
        <v>315</v>
      </c>
      <c r="G96" s="4">
        <f>SUM(pathogen_presence!B96:BX96)</f>
        <v>0</v>
      </c>
      <c r="H96" s="2" t="str">
        <f>IF(G96=0,"pathogen 0",IF(G96&lt;=5,"pathogen "&amp;G96,"pathogen &gt; 5"))</f>
        <v>pathogen 0</v>
      </c>
    </row>
    <row r="97" spans="1:8">
      <c r="A97" s="2" t="s">
        <v>183</v>
      </c>
      <c r="B97" s="2" t="s">
        <v>207</v>
      </c>
      <c r="C97" s="2" t="s">
        <v>309</v>
      </c>
      <c r="D97" s="2" t="s">
        <v>316</v>
      </c>
      <c r="E97" s="2" t="s">
        <v>317</v>
      </c>
      <c r="F97" s="2" t="s">
        <v>318</v>
      </c>
      <c r="G97" s="4">
        <f>SUM(pathogen_presence!B97:BX97)</f>
        <v>0</v>
      </c>
      <c r="H97" s="2" t="str">
        <f>IF(G97=0,"pathogen 0",IF(G97&lt;=5,"pathogen "&amp;G97,"pathogen &gt; 5"))</f>
        <v>pathogen 0</v>
      </c>
    </row>
    <row r="98" spans="1:8">
      <c r="A98" s="2" t="s">
        <v>184</v>
      </c>
      <c r="B98" s="2" t="s">
        <v>207</v>
      </c>
      <c r="C98" s="2" t="s">
        <v>319</v>
      </c>
      <c r="D98" s="2" t="s">
        <v>320</v>
      </c>
      <c r="E98" s="2" t="s">
        <v>321</v>
      </c>
      <c r="F98" s="2" t="s">
        <v>322</v>
      </c>
      <c r="G98" s="4">
        <f>SUM(pathogen_presence!B98:BX98)</f>
        <v>3</v>
      </c>
      <c r="H98" s="2" t="str">
        <f>IF(G98=0,"pathogen 0",IF(G98&lt;=5,"pathogen "&amp;G98,"pathogen &gt; 5"))</f>
        <v>pathogen 3</v>
      </c>
    </row>
    <row r="99" spans="1:8">
      <c r="A99" s="2" t="s">
        <v>185</v>
      </c>
      <c r="B99" s="2" t="s">
        <v>207</v>
      </c>
      <c r="C99" s="2" t="s">
        <v>319</v>
      </c>
      <c r="D99" s="2" t="s">
        <v>320</v>
      </c>
      <c r="E99" s="2" t="s">
        <v>321</v>
      </c>
      <c r="F99" s="2" t="s">
        <v>322</v>
      </c>
      <c r="G99" s="4">
        <f>SUM(pathogen_presence!B99:BX99)</f>
        <v>2</v>
      </c>
      <c r="H99" s="2" t="str">
        <f>IF(G99=0,"pathogen 0",IF(G99&lt;=5,"pathogen "&amp;G99,"pathogen &gt; 5"))</f>
        <v>pathogen 2</v>
      </c>
    </row>
    <row r="100" spans="1:8">
      <c r="A100" s="2" t="s">
        <v>186</v>
      </c>
      <c r="B100" s="2" t="s">
        <v>207</v>
      </c>
      <c r="C100" s="2" t="s">
        <v>319</v>
      </c>
      <c r="D100" s="2" t="s">
        <v>320</v>
      </c>
      <c r="E100" s="2" t="s">
        <v>321</v>
      </c>
      <c r="F100" s="2" t="s">
        <v>322</v>
      </c>
      <c r="G100" s="4">
        <f>SUM(pathogen_presence!B100:BX100)</f>
        <v>0</v>
      </c>
      <c r="H100" s="2" t="str">
        <f>IF(G100=0,"pathogen 0",IF(G100&lt;=5,"pathogen "&amp;G100,"pathogen &gt; 5"))</f>
        <v>pathogen 0</v>
      </c>
    </row>
    <row r="101" spans="1:8">
      <c r="A101" s="2" t="s">
        <v>187</v>
      </c>
      <c r="B101" s="2" t="s">
        <v>207</v>
      </c>
      <c r="C101" s="2" t="s">
        <v>323</v>
      </c>
      <c r="D101" s="2" t="s">
        <v>324</v>
      </c>
      <c r="E101" s="2" t="s">
        <v>325</v>
      </c>
      <c r="F101" s="2" t="s">
        <v>326</v>
      </c>
      <c r="G101" s="4">
        <f>SUM(pathogen_presence!B101:BX101)</f>
        <v>1</v>
      </c>
      <c r="H101" s="2" t="str">
        <f>IF(G101=0,"pathogen 0",IF(G101&lt;=5,"pathogen "&amp;G101,"pathogen &gt; 5"))</f>
        <v>pathogen 1</v>
      </c>
    </row>
    <row r="102" spans="1:8">
      <c r="A102" s="2" t="s">
        <v>188</v>
      </c>
      <c r="B102" s="2" t="s">
        <v>207</v>
      </c>
      <c r="C102" s="2" t="s">
        <v>323</v>
      </c>
      <c r="D102" s="2" t="s">
        <v>324</v>
      </c>
      <c r="E102" s="2" t="s">
        <v>325</v>
      </c>
      <c r="F102" s="2" t="s">
        <v>326</v>
      </c>
      <c r="G102" s="4">
        <f>SUM(pathogen_presence!B102:BX102)</f>
        <v>0</v>
      </c>
      <c r="H102" s="2" t="str">
        <f>IF(G102=0,"pathogen 0",IF(G102&lt;=5,"pathogen "&amp;G102,"pathogen &gt; 5"))</f>
        <v>pathogen 0</v>
      </c>
    </row>
    <row r="103" spans="1:8">
      <c r="A103" s="2" t="s">
        <v>189</v>
      </c>
      <c r="B103" s="2" t="s">
        <v>207</v>
      </c>
      <c r="C103" s="2" t="s">
        <v>323</v>
      </c>
      <c r="D103" s="2" t="s">
        <v>324</v>
      </c>
      <c r="E103" s="2" t="s">
        <v>325</v>
      </c>
      <c r="F103" s="2" t="s">
        <v>326</v>
      </c>
      <c r="G103" s="4">
        <f>SUM(pathogen_presence!B103:BX103)</f>
        <v>0</v>
      </c>
      <c r="H103" s="2" t="str">
        <f>IF(G103=0,"pathogen 0",IF(G103&lt;=5,"pathogen "&amp;G103,"pathogen &gt; 5"))</f>
        <v>pathogen 0</v>
      </c>
    </row>
    <row r="104" spans="1:8">
      <c r="A104" s="2" t="s">
        <v>190</v>
      </c>
      <c r="B104" s="2" t="s">
        <v>207</v>
      </c>
      <c r="C104" s="2" t="s">
        <v>327</v>
      </c>
      <c r="D104" s="2" t="s">
        <v>328</v>
      </c>
      <c r="E104" s="2" t="s">
        <v>329</v>
      </c>
      <c r="F104" s="2" t="s">
        <v>330</v>
      </c>
      <c r="G104" s="4">
        <f>SUM(pathogen_presence!B104:BX104)</f>
        <v>6</v>
      </c>
      <c r="H104" s="2" t="str">
        <f>IF(G104=0,"pathogen 0",IF(G104&lt;=5,"pathogen "&amp;G104,"pathogen &gt; 5"))</f>
        <v>pathogen &gt; 5</v>
      </c>
    </row>
    <row r="105" spans="1:8">
      <c r="A105" s="2" t="s">
        <v>191</v>
      </c>
      <c r="B105" s="2" t="s">
        <v>207</v>
      </c>
      <c r="C105" s="2" t="s">
        <v>327</v>
      </c>
      <c r="D105" s="2" t="s">
        <v>328</v>
      </c>
      <c r="E105" s="2" t="s">
        <v>329</v>
      </c>
      <c r="F105" s="2" t="s">
        <v>330</v>
      </c>
      <c r="G105" s="4">
        <f>SUM(pathogen_presence!B105:BX105)</f>
        <v>7</v>
      </c>
      <c r="H105" s="2" t="str">
        <f>IF(G105=0,"pathogen 0",IF(G105&lt;=5,"pathogen "&amp;G105,"pathogen &gt; 5"))</f>
        <v>pathogen &gt; 5</v>
      </c>
    </row>
    <row r="106" spans="1:8">
      <c r="A106" s="2" t="s">
        <v>192</v>
      </c>
      <c r="B106" s="2" t="s">
        <v>207</v>
      </c>
      <c r="C106" s="2" t="s">
        <v>327</v>
      </c>
      <c r="D106" s="2" t="s">
        <v>328</v>
      </c>
      <c r="E106" s="2" t="s">
        <v>329</v>
      </c>
      <c r="F106" s="2" t="s">
        <v>330</v>
      </c>
      <c r="G106" s="4">
        <f>SUM(pathogen_presence!B106:BX106)</f>
        <v>5</v>
      </c>
      <c r="H106" s="2" t="str">
        <f>IF(G106=0,"pathogen 0",IF(G106&lt;=5,"pathogen "&amp;G106,"pathogen &gt; 5"))</f>
        <v>pathogen 5</v>
      </c>
    </row>
    <row r="107" spans="1:8">
      <c r="A107" s="2" t="s">
        <v>193</v>
      </c>
      <c r="B107" s="2" t="s">
        <v>207</v>
      </c>
      <c r="C107" s="2" t="s">
        <v>327</v>
      </c>
      <c r="D107" s="2" t="s">
        <v>331</v>
      </c>
      <c r="E107" s="2" t="s">
        <v>332</v>
      </c>
      <c r="F107" s="2" t="s">
        <v>333</v>
      </c>
      <c r="G107" s="4">
        <f>SUM(pathogen_presence!B107:BX107)</f>
        <v>2</v>
      </c>
      <c r="H107" s="2" t="str">
        <f>IF(G107=0,"pathogen 0",IF(G107&lt;=5,"pathogen "&amp;G107,"pathogen &gt; 5"))</f>
        <v>pathogen 2</v>
      </c>
    </row>
    <row r="108" spans="1:8">
      <c r="A108" s="2" t="s">
        <v>194</v>
      </c>
      <c r="B108" s="2" t="s">
        <v>207</v>
      </c>
      <c r="C108" s="2" t="s">
        <v>327</v>
      </c>
      <c r="D108" s="2" t="s">
        <v>331</v>
      </c>
      <c r="E108" s="2" t="s">
        <v>332</v>
      </c>
      <c r="F108" s="2" t="s">
        <v>333</v>
      </c>
      <c r="G108" s="4">
        <f>SUM(pathogen_presence!B108:BX108)</f>
        <v>0</v>
      </c>
      <c r="H108" s="2" t="str">
        <f>IF(G108=0,"pathogen 0",IF(G108&lt;=5,"pathogen "&amp;G108,"pathogen &gt; 5"))</f>
        <v>pathogen 0</v>
      </c>
    </row>
    <row r="109" spans="1:8">
      <c r="A109" s="2" t="s">
        <v>195</v>
      </c>
      <c r="B109" s="2" t="s">
        <v>207</v>
      </c>
      <c r="C109" s="2" t="s">
        <v>327</v>
      </c>
      <c r="D109" s="2" t="s">
        <v>331</v>
      </c>
      <c r="E109" s="2" t="s">
        <v>332</v>
      </c>
      <c r="F109" s="2" t="s">
        <v>333</v>
      </c>
      <c r="G109" s="4">
        <f>SUM(pathogen_presence!B109:BX109)</f>
        <v>4</v>
      </c>
      <c r="H109" s="2" t="str">
        <f>IF(G109=0,"pathogen 0",IF(G109&lt;=5,"pathogen "&amp;G109,"pathogen &gt; 5"))</f>
        <v>pathogen 4</v>
      </c>
    </row>
    <row r="110" spans="1:8">
      <c r="A110" s="2" t="s">
        <v>196</v>
      </c>
      <c r="B110" s="2" t="s">
        <v>334</v>
      </c>
      <c r="C110" s="2" t="s">
        <v>335</v>
      </c>
      <c r="D110" s="2" t="s">
        <v>336</v>
      </c>
      <c r="E110" s="2" t="s">
        <v>337</v>
      </c>
      <c r="F110" s="2" t="s">
        <v>338</v>
      </c>
      <c r="G110" s="4">
        <f>SUM(pathogen_presence!B110:BX110)</f>
        <v>2</v>
      </c>
      <c r="H110" s="2" t="str">
        <f>IF(G110=0,"pathogen 0",IF(G110&lt;=5,"pathogen "&amp;G110,"pathogen &gt; 5"))</f>
        <v>pathogen 2</v>
      </c>
    </row>
    <row r="111" spans="1:8">
      <c r="A111" s="2" t="s">
        <v>197</v>
      </c>
      <c r="B111" s="2" t="s">
        <v>334</v>
      </c>
      <c r="C111" s="2" t="s">
        <v>339</v>
      </c>
      <c r="D111" s="2" t="s">
        <v>340</v>
      </c>
      <c r="E111" s="2" t="s">
        <v>341</v>
      </c>
      <c r="F111" s="2" t="s">
        <v>342</v>
      </c>
      <c r="G111" s="4">
        <f>SUM(pathogen_presence!B111:BX111)</f>
        <v>0</v>
      </c>
      <c r="H111" s="2" t="str">
        <f>IF(G111=0,"pathogen 0",IF(G111&lt;=5,"pathogen "&amp;G111,"pathogen &gt; 5"))</f>
        <v>pathogen 0</v>
      </c>
    </row>
    <row r="112" spans="1:8">
      <c r="A112" s="2" t="s">
        <v>198</v>
      </c>
      <c r="B112" s="2" t="s">
        <v>334</v>
      </c>
      <c r="C112" s="2" t="s">
        <v>339</v>
      </c>
      <c r="D112" s="2" t="s">
        <v>340</v>
      </c>
      <c r="E112" s="2" t="s">
        <v>341</v>
      </c>
      <c r="F112" s="2" t="s">
        <v>342</v>
      </c>
      <c r="G112" s="4">
        <f>SUM(pathogen_presence!B112:BX112)</f>
        <v>1</v>
      </c>
      <c r="H112" s="2" t="str">
        <f>IF(G112=0,"pathogen 0",IF(G112&lt;=5,"pathogen "&amp;G112,"pathogen &gt; 5"))</f>
        <v>pathogen 1</v>
      </c>
    </row>
    <row r="113" spans="1:8">
      <c r="A113" s="2" t="s">
        <v>199</v>
      </c>
      <c r="B113" s="2" t="s">
        <v>334</v>
      </c>
      <c r="C113" s="2" t="s">
        <v>339</v>
      </c>
      <c r="D113" s="2" t="s">
        <v>340</v>
      </c>
      <c r="E113" s="2" t="s">
        <v>341</v>
      </c>
      <c r="F113" s="2" t="s">
        <v>342</v>
      </c>
      <c r="G113" s="4">
        <f>SUM(pathogen_presence!B113:BX113)</f>
        <v>0</v>
      </c>
      <c r="H113" s="2" t="str">
        <f>IF(G113=0,"pathogen 0",IF(G113&lt;=5,"pathogen "&amp;G113,"pathogen &gt; 5"))</f>
        <v>pathogen 0</v>
      </c>
    </row>
  </sheetData>
  <autoFilter ref="A1:H1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</cols>
  <sheetData>
    <row r="1" spans="1:4">
      <c r="A1" s="1" t="s">
        <v>343</v>
      </c>
      <c r="B1" s="1" t="s">
        <v>344</v>
      </c>
      <c r="C1" s="1" t="s">
        <v>345</v>
      </c>
      <c r="D1" s="1" t="s">
        <v>346</v>
      </c>
    </row>
    <row r="2" spans="1:4">
      <c r="A2" s="2" t="s">
        <v>347</v>
      </c>
      <c r="B2" s="4">
        <f>COUNTIF(individual_summary!$H$2:$H$113,A2)</f>
        <v>40</v>
      </c>
      <c r="C2" s="5">
        <f>B2/112</f>
        <v>0.35714285714285715</v>
      </c>
      <c r="D2" s="2" t="str">
        <f>TEXT(C2,"0.00%")</f>
        <v>35.71%</v>
      </c>
    </row>
    <row r="3" spans="1:4">
      <c r="A3" s="2" t="s">
        <v>348</v>
      </c>
      <c r="B3" s="4">
        <f>COUNTIF(individual_summary!$H$2:$H$113,A3)</f>
        <v>39</v>
      </c>
      <c r="C3" s="5">
        <f>B3/112</f>
        <v>0.3482142857142857</v>
      </c>
      <c r="D3" s="2" t="str">
        <f>TEXT(C3,"0.00%")</f>
        <v>34.82%</v>
      </c>
    </row>
    <row r="4" spans="1:4">
      <c r="A4" s="2" t="s">
        <v>349</v>
      </c>
      <c r="B4" s="4">
        <f>COUNTIF(individual_summary!$H$2:$H$113,A4)</f>
        <v>13</v>
      </c>
      <c r="C4" s="5">
        <f>B4/112</f>
        <v>0.11607142857142858</v>
      </c>
      <c r="D4" s="2" t="str">
        <f>TEXT(C4,"0.00%")</f>
        <v>11.61%</v>
      </c>
    </row>
    <row r="5" spans="1:4">
      <c r="A5" s="2" t="s">
        <v>350</v>
      </c>
      <c r="B5" s="4">
        <f>COUNTIF(individual_summary!$H$2:$H$113,A5)</f>
        <v>8</v>
      </c>
      <c r="C5" s="5">
        <f>B5/112</f>
        <v>0.07142857142857142</v>
      </c>
      <c r="D5" s="2" t="str">
        <f>TEXT(C5,"0.00%")</f>
        <v>7.14%</v>
      </c>
    </row>
    <row r="6" spans="1:4">
      <c r="A6" s="2" t="s">
        <v>351</v>
      </c>
      <c r="B6" s="4">
        <f>COUNTIF(individual_summary!$H$2:$H$113,A6)</f>
        <v>5</v>
      </c>
      <c r="C6" s="5">
        <f>B6/112</f>
        <v>0.044642857142857144</v>
      </c>
      <c r="D6" s="2" t="str">
        <f>TEXT(C6,"0.00%")</f>
        <v>4.46%</v>
      </c>
    </row>
    <row r="7" spans="1:4">
      <c r="A7" s="2" t="s">
        <v>352</v>
      </c>
      <c r="B7" s="4">
        <f>COUNTIF(individual_summary!$H$2:$H$113,A7)</f>
        <v>5</v>
      </c>
      <c r="C7" s="5">
        <f>B7/112</f>
        <v>0.044642857142857144</v>
      </c>
      <c r="D7" s="2" t="str">
        <f>TEXT(C7,"0.00%")</f>
        <v>4.46%</v>
      </c>
    </row>
    <row r="8" spans="1:4">
      <c r="A8" s="2" t="s">
        <v>353</v>
      </c>
      <c r="B8" s="4">
        <f>COUNTIF(individual_summary!$H$2:$H$113,A8)</f>
        <v>2</v>
      </c>
      <c r="C8" s="5">
        <f>B8/112</f>
        <v>0.017857142857142856</v>
      </c>
      <c r="D8" s="2" t="str">
        <f>TEXT(C8,"0.00%")</f>
        <v>1.79%</v>
      </c>
    </row>
  </sheetData>
  <autoFilter ref="A1:D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6.7109375" customWidth="1"/>
    <col min="5" max="5" width="30.7109375" customWidth="1"/>
  </cols>
  <sheetData>
    <row r="1" spans="1:5">
      <c r="A1" s="1" t="s">
        <v>343</v>
      </c>
      <c r="B1" s="1" t="s">
        <v>354</v>
      </c>
      <c r="C1" s="1" t="s">
        <v>355</v>
      </c>
      <c r="D1" s="1" t="s">
        <v>356</v>
      </c>
      <c r="E1" s="1" t="s">
        <v>357</v>
      </c>
    </row>
    <row r="2" spans="1:5">
      <c r="A2" s="2" t="s">
        <v>347</v>
      </c>
      <c r="B2" s="2">
        <v>40</v>
      </c>
      <c r="C2" s="2">
        <v>40</v>
      </c>
      <c r="D2" s="2">
        <v>40</v>
      </c>
      <c r="E2" s="2" t="s">
        <v>358</v>
      </c>
    </row>
    <row r="3" spans="1:5">
      <c r="A3" s="2" t="s">
        <v>348</v>
      </c>
      <c r="B3" s="2">
        <v>39</v>
      </c>
      <c r="C3" s="2">
        <v>38</v>
      </c>
      <c r="D3" s="2">
        <v>39</v>
      </c>
      <c r="E3" s="2" t="s">
        <v>358</v>
      </c>
    </row>
    <row r="4" spans="1:5">
      <c r="A4" s="2" t="s">
        <v>349</v>
      </c>
      <c r="B4" s="2">
        <v>13</v>
      </c>
      <c r="C4" s="2">
        <v>13</v>
      </c>
      <c r="D4" s="2">
        <v>13</v>
      </c>
      <c r="E4" s="2" t="s">
        <v>358</v>
      </c>
    </row>
    <row r="5" spans="1:5">
      <c r="A5" s="2" t="s">
        <v>350</v>
      </c>
      <c r="B5" s="2">
        <v>8</v>
      </c>
      <c r="C5" s="2">
        <v>9</v>
      </c>
      <c r="D5" s="2">
        <v>8</v>
      </c>
      <c r="E5" s="2" t="s">
        <v>358</v>
      </c>
    </row>
    <row r="6" spans="1:5">
      <c r="A6" s="2" t="s">
        <v>351</v>
      </c>
      <c r="B6" s="2">
        <v>5</v>
      </c>
      <c r="C6" s="2">
        <v>5</v>
      </c>
      <c r="D6" s="2">
        <v>5</v>
      </c>
      <c r="E6" s="2" t="s">
        <v>358</v>
      </c>
    </row>
    <row r="7" spans="1:5">
      <c r="A7" s="2" t="s">
        <v>352</v>
      </c>
      <c r="B7" s="2">
        <v>5</v>
      </c>
      <c r="C7" s="2">
        <v>5</v>
      </c>
      <c r="D7" s="2">
        <v>5</v>
      </c>
      <c r="E7" s="2" t="s">
        <v>358</v>
      </c>
    </row>
    <row r="8" spans="1:5">
      <c r="A8" s="2" t="s">
        <v>353</v>
      </c>
      <c r="B8" s="2">
        <v>2</v>
      </c>
      <c r="C8" s="2">
        <v>1</v>
      </c>
      <c r="D8" s="2">
        <v>2</v>
      </c>
      <c r="E8" s="2" t="s">
        <v>358</v>
      </c>
    </row>
  </sheetData>
  <autoFilter ref="A1:E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pathogen_presence</vt:lpstr>
      <vt:lpstr>individual_summary</vt:lpstr>
      <vt:lpstr>pie_summary</vt:lpstr>
      <vt:lpstr>old_input_check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2026-08-14T14:55:11Z</dcterms:created>
  <dcterms:modified xsi:type="dcterms:W3CDTF">2026-08-14T14:55:11Z</dcterms:modified>
</cp:coreProperties>
</file>