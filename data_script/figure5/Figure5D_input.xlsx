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lass_abundance" sheetId="2" r:id="rId2"/>
    <sheet name="class_status" sheetId="3" r:id="rId3"/>
    <sheet name="venn_regions" sheetId="4" r:id="rId4"/>
    <sheet name="set_totals" sheetId="5" r:id="rId5"/>
  </sheets>
  <definedNames>
    <definedName name="_xlnm._FilterDatabase" localSheetId="1" hidden="1">class_abundance!$A$1:$J$113</definedName>
    <definedName name="_xlnm._FilterDatabase" localSheetId="2" hidden="1">class_status!$A$1:$G$113</definedName>
    <definedName name="_xlnm._FilterDatabase" localSheetId="4" hidden="1">set_totals!$A$1:$D$5</definedName>
    <definedName name="_xlnm._FilterDatabase" localSheetId="3" hidden="1">venn_regions!$A$1:$J$16</definedName>
  </definedNames>
  <calcPr calcId="124519" fullCalcOnLoad="1"/>
</workbook>
</file>

<file path=xl/sharedStrings.xml><?xml version="1.0" encoding="utf-8"?>
<sst xmlns="http://schemas.openxmlformats.org/spreadsheetml/2006/main" count="861" uniqueCount="292">
  <si>
    <t>Item</t>
  </si>
  <si>
    <t>Description</t>
  </si>
  <si>
    <t>Analysis population</t>
  </si>
  <si>
    <t>112 fish with exactly eight organ libraries each.</t>
  </si>
  <si>
    <t>Pathogen-positive fish</t>
  </si>
  <si>
    <t>72 fish were positive for at least one of the four pathogen classes; 40 were negative.</t>
  </si>
  <si>
    <t>Class positivity</t>
  </si>
  <si>
    <t>A class is positive when summed RPM across all pathogens in that class and all eight organs is greater than zero.</t>
  </si>
  <si>
    <t>Venn denominator</t>
  </si>
  <si>
    <t>Region percentages are calculated among the 72 pathogen-positive fish, matching the reference figure. Percentages among all 112 fish are also retained in venn_regions.</t>
  </si>
  <si>
    <t>Old-input audit</t>
  </si>
  <si>
    <t>The old Venn input contained 72 positive fish. All 15 exact-region counts match the recalculation from the updated matrix and annotations.</t>
  </si>
  <si>
    <t>individual_id</t>
  </si>
  <si>
    <t>class</t>
  </si>
  <si>
    <t>order</t>
  </si>
  <si>
    <t>family</t>
  </si>
  <si>
    <t>species</t>
  </si>
  <si>
    <t>species_abbreviation</t>
  </si>
  <si>
    <t>RNA virus</t>
  </si>
  <si>
    <t>DNA virus</t>
  </si>
  <si>
    <t>Bacteria</t>
  </si>
  <si>
    <t>Eukaryota</t>
  </si>
  <si>
    <t>YS-HM-1</t>
  </si>
  <si>
    <t>Actinopteri</t>
  </si>
  <si>
    <t>Anguilliformes</t>
  </si>
  <si>
    <t>Muraenidae</t>
  </si>
  <si>
    <t>Gymnothorax reevesii</t>
  </si>
  <si>
    <t>Gy. reevesii</t>
  </si>
  <si>
    <t>YS-HM-2</t>
  </si>
  <si>
    <t>YS-HM-3</t>
  </si>
  <si>
    <t>YS-HM-4</t>
  </si>
  <si>
    <t>YS-CTSZ-1</t>
  </si>
  <si>
    <t>Aulopiformes</t>
  </si>
  <si>
    <t>Synodontidae</t>
  </si>
  <si>
    <t>Saurida elongata</t>
  </si>
  <si>
    <t>Sa. elongata</t>
  </si>
  <si>
    <t>YS-CTSZ-2</t>
  </si>
  <si>
    <t>YS-CTSZ-3</t>
  </si>
  <si>
    <t>YS-HBSZ-1</t>
  </si>
  <si>
    <t>Saurida undosquamis</t>
  </si>
  <si>
    <t>Sa. undosquamis</t>
  </si>
  <si>
    <t>YS-HBSZ-2</t>
  </si>
  <si>
    <t>YS-HBSZ-3</t>
  </si>
  <si>
    <t>YS-LTY-1</t>
  </si>
  <si>
    <t>Harpadon nehereus</t>
  </si>
  <si>
    <t>Ha. nehereus</t>
  </si>
  <si>
    <t>YS-LTY-2</t>
  </si>
  <si>
    <t>YS-LTY-3</t>
  </si>
  <si>
    <t>YS-LZMB-1</t>
  </si>
  <si>
    <t>Carangaria incertae sedis</t>
  </si>
  <si>
    <t>Polynemidae</t>
  </si>
  <si>
    <t>Polydactylus sextarius</t>
  </si>
  <si>
    <t>Po. sextarius</t>
  </si>
  <si>
    <t>YS-LZMB-2</t>
  </si>
  <si>
    <t>YS-LZMB-3</t>
  </si>
  <si>
    <t>YS-SZMB-1</t>
  </si>
  <si>
    <t>Eleutheronema tetradactylum</t>
  </si>
  <si>
    <t>El. tetradactylum</t>
  </si>
  <si>
    <t>YS-LYS-3</t>
  </si>
  <si>
    <t>Carangiformes</t>
  </si>
  <si>
    <t>Carangidae</t>
  </si>
  <si>
    <t>Decapterus maruadsi</t>
  </si>
  <si>
    <t>De. maruadsi</t>
  </si>
  <si>
    <t>YS-LBYKF-1</t>
  </si>
  <si>
    <t>Chaetodontiformes</t>
  </si>
  <si>
    <t>Leiognathidae</t>
  </si>
  <si>
    <t>Deveximentum ruconius</t>
  </si>
  <si>
    <t>De. ruconius</t>
  </si>
  <si>
    <t>YS-LBYKF-2</t>
  </si>
  <si>
    <t>YS-LBYKF-3</t>
  </si>
  <si>
    <t>YS-BJ-1</t>
  </si>
  <si>
    <t>Clupeiformes</t>
  </si>
  <si>
    <t>Clupeidae</t>
  </si>
  <si>
    <t>Nematalosa japonica</t>
  </si>
  <si>
    <t>Ne. japonica</t>
  </si>
  <si>
    <t>YS-BJ-2</t>
  </si>
  <si>
    <t>YS-BJ-3</t>
  </si>
  <si>
    <t>YS-CBLT-1</t>
  </si>
  <si>
    <t>Engraulidae</t>
  </si>
  <si>
    <t>Thryssa kammalensis</t>
  </si>
  <si>
    <t>Th. kammalensis</t>
  </si>
  <si>
    <t>YS-CBLT-2</t>
  </si>
  <si>
    <t>YS-CBLT-3</t>
  </si>
  <si>
    <t>YS-CHLT-1</t>
  </si>
  <si>
    <t>Thryssa setirostris</t>
  </si>
  <si>
    <t>Th. setirostris</t>
  </si>
  <si>
    <t>YS-CHLT-2</t>
  </si>
  <si>
    <t>YS-CHLT-3</t>
  </si>
  <si>
    <t>YS-DHY-1</t>
  </si>
  <si>
    <t>Pristigasteridae</t>
  </si>
  <si>
    <t>Ilisha elongata</t>
  </si>
  <si>
    <t>Il. elongata</t>
  </si>
  <si>
    <t>YS-DHY-2</t>
  </si>
  <si>
    <t>YS-DSLT-1</t>
  </si>
  <si>
    <t>YS-DSLT-2</t>
  </si>
  <si>
    <t>YS-DSLT-3</t>
  </si>
  <si>
    <t>YS-HJ-1</t>
  </si>
  <si>
    <t>Setipinna tenuifilis</t>
  </si>
  <si>
    <t>Se. tenuifilis</t>
  </si>
  <si>
    <t>YS-HJ-2</t>
  </si>
  <si>
    <t>YS-HJ-3</t>
  </si>
  <si>
    <t>YS-HJ-4</t>
  </si>
  <si>
    <t>YS-HJ-5</t>
  </si>
  <si>
    <t>YS-HJ-6</t>
  </si>
  <si>
    <t>YS-HKL-1</t>
  </si>
  <si>
    <t>Ilisha melastoma</t>
  </si>
  <si>
    <t>Il. melastoma</t>
  </si>
  <si>
    <t>YS-HKL-2</t>
  </si>
  <si>
    <t>YS-HKL-3</t>
  </si>
  <si>
    <t>YS-HSLT-1</t>
  </si>
  <si>
    <t>Thryssa hamiltonii</t>
  </si>
  <si>
    <t>Th. hamiltonii</t>
  </si>
  <si>
    <t>YS-HSLT-2</t>
  </si>
  <si>
    <t>YS-HSLT-3</t>
  </si>
  <si>
    <t>YS-JSXSD-1</t>
  </si>
  <si>
    <t>Sardinella lemuru</t>
  </si>
  <si>
    <t>Sa. lemuru</t>
  </si>
  <si>
    <t>YS-JSXSD-2</t>
  </si>
  <si>
    <t>YS-JSXSD-3</t>
  </si>
  <si>
    <t>YS-KSCDXGY-1</t>
  </si>
  <si>
    <t>Encrasicholina punctifer</t>
  </si>
  <si>
    <t>En. punctifer</t>
  </si>
  <si>
    <t>YS-KSCDXGY-2</t>
  </si>
  <si>
    <t>Encrasicholina heteroloba</t>
  </si>
  <si>
    <t>En. heteroloba</t>
  </si>
  <si>
    <t>YS-KSCDXGY-3</t>
  </si>
  <si>
    <t>YS-QLXSD-1</t>
  </si>
  <si>
    <t>Sardinella fijiensis</t>
  </si>
  <si>
    <t>Sa. fijiensis</t>
  </si>
  <si>
    <t>YS-QLXSD-2</t>
  </si>
  <si>
    <t>Sardinella melanura</t>
  </si>
  <si>
    <t>Sa. melanura</t>
  </si>
  <si>
    <t>YS-QLXSD-3</t>
  </si>
  <si>
    <t>YS-BGY-1</t>
  </si>
  <si>
    <t>Eupercaria incertae sedis</t>
  </si>
  <si>
    <t>Sciaenidae</t>
  </si>
  <si>
    <t>Pennahia macrocephala</t>
  </si>
  <si>
    <t>Pe. macrocephala</t>
  </si>
  <si>
    <t>YS-BGY-2</t>
  </si>
  <si>
    <t>YS-BGY-3</t>
  </si>
  <si>
    <t>YS-JXY-1</t>
  </si>
  <si>
    <t>Scatophagidae</t>
  </si>
  <si>
    <t>Scatophagus argus</t>
  </si>
  <si>
    <t>Sc. argus</t>
  </si>
  <si>
    <t>YS-JXY-2</t>
  </si>
  <si>
    <t>YS-JXY-3</t>
  </si>
  <si>
    <t>YS-LY-2</t>
  </si>
  <si>
    <t>Larimichthys crocea</t>
  </si>
  <si>
    <t>La. crocea</t>
  </si>
  <si>
    <t>YS-LY-3</t>
  </si>
  <si>
    <t>YS-LZY-1</t>
  </si>
  <si>
    <t>Siganidae</t>
  </si>
  <si>
    <t>Siganus canaliculatus</t>
  </si>
  <si>
    <t>Si. canaliculatus</t>
  </si>
  <si>
    <t>YS-LZY-2</t>
  </si>
  <si>
    <t>YS-LZY-3</t>
  </si>
  <si>
    <t>Siganus fuscescens</t>
  </si>
  <si>
    <t>Si. fuscescens</t>
  </si>
  <si>
    <t>YS-PSJGY-1</t>
  </si>
  <si>
    <t>Johnius belangerii</t>
  </si>
  <si>
    <t>Jo. belangerii</t>
  </si>
  <si>
    <t>YS-PSJGY-2</t>
  </si>
  <si>
    <t>YS-PSJGY-3</t>
  </si>
  <si>
    <t>YS-SLS-2</t>
  </si>
  <si>
    <t>Sillaginidae</t>
  </si>
  <si>
    <t>Sillago sihama</t>
  </si>
  <si>
    <t>Si. sihama</t>
  </si>
  <si>
    <t>YS-SLS-3</t>
  </si>
  <si>
    <t>YS-MSXX-1</t>
  </si>
  <si>
    <t>Gadiformes</t>
  </si>
  <si>
    <t>Bregmacerotidae</t>
  </si>
  <si>
    <t>Bregmaceros mcclellandi</t>
  </si>
  <si>
    <t>Br. mcclellandi</t>
  </si>
  <si>
    <t>YS-MSXX-2</t>
  </si>
  <si>
    <t>YS-MSXX-3</t>
  </si>
  <si>
    <t>YS-LYXHY-1</t>
  </si>
  <si>
    <t>Gobiiformes</t>
  </si>
  <si>
    <t>Gobiidae</t>
  </si>
  <si>
    <t>Odontamblyopus rubicundus</t>
  </si>
  <si>
    <t>Od. rubicundus</t>
  </si>
  <si>
    <t>YS-LYXHY-2</t>
  </si>
  <si>
    <t>YS-LYXHY-3</t>
  </si>
  <si>
    <t>YS-Z-1</t>
  </si>
  <si>
    <t>Mugiliformes</t>
  </si>
  <si>
    <t>Mugilidae</t>
  </si>
  <si>
    <t>Moolgarda cunnesius</t>
  </si>
  <si>
    <t>Mo. cunnesius</t>
  </si>
  <si>
    <t>YS-Z-2</t>
  </si>
  <si>
    <t>YS-Z-3</t>
  </si>
  <si>
    <t>YS-ZY-1</t>
  </si>
  <si>
    <t>Chelon carinatus</t>
  </si>
  <si>
    <t>Ch. carinatus</t>
  </si>
  <si>
    <t>YS-QXDDY-1</t>
  </si>
  <si>
    <t>Myctophiformes</t>
  </si>
  <si>
    <t>Myctophidae</t>
  </si>
  <si>
    <t>Benthosema pterotum</t>
  </si>
  <si>
    <t>Be. pterotum</t>
  </si>
  <si>
    <t>YS-QXDDY-2</t>
  </si>
  <si>
    <t>YS-QXDDY-3</t>
  </si>
  <si>
    <t>YS-DLLY-1</t>
  </si>
  <si>
    <t>Perciformes</t>
  </si>
  <si>
    <t>Platycephalidae</t>
  </si>
  <si>
    <t>Kumococius rodericensis</t>
  </si>
  <si>
    <t>Ku. rodericensis</t>
  </si>
  <si>
    <t>YS-Y-1</t>
  </si>
  <si>
    <t>Inegocia japonica</t>
  </si>
  <si>
    <t>In. japonica</t>
  </si>
  <si>
    <t>YS-Y-2</t>
  </si>
  <si>
    <t>YS-DZTT-1</t>
  </si>
  <si>
    <t>Pleuronectiformes</t>
  </si>
  <si>
    <t>Soleidae</t>
  </si>
  <si>
    <t>Zebrias zebrinus</t>
  </si>
  <si>
    <t>Ze. zebrinus</t>
  </si>
  <si>
    <t>YS-CC-1</t>
  </si>
  <si>
    <t>Scombriformes</t>
  </si>
  <si>
    <t>Centrolophidae</t>
  </si>
  <si>
    <t>Psenopsis anomala</t>
  </si>
  <si>
    <t>Ps. anomala</t>
  </si>
  <si>
    <t>YS-CC-2</t>
  </si>
  <si>
    <t>YS-CC-3</t>
  </si>
  <si>
    <t>YS-SDYY-1</t>
  </si>
  <si>
    <t>Trichiuridae</t>
  </si>
  <si>
    <t>Lepturacanthus savala</t>
  </si>
  <si>
    <t>Le. savala</t>
  </si>
  <si>
    <t>YS-SDYY-2</t>
  </si>
  <si>
    <t>YS-SDYY-3</t>
  </si>
  <si>
    <t>YS-YC-3</t>
  </si>
  <si>
    <t>Stromateidae</t>
  </si>
  <si>
    <t>Pampus argenteus</t>
  </si>
  <si>
    <t>Pa. argenteus</t>
  </si>
  <si>
    <t>YS-SQHN-1</t>
  </si>
  <si>
    <t>Siluriformes</t>
  </si>
  <si>
    <t>Ariidae</t>
  </si>
  <si>
    <t>Arius arius</t>
  </si>
  <si>
    <t>Ar. arius</t>
  </si>
  <si>
    <t>YS-SQHN-2</t>
  </si>
  <si>
    <t>YS-SQHN-3</t>
  </si>
  <si>
    <t>YS-RBJXY-1</t>
  </si>
  <si>
    <t>Spariformes</t>
  </si>
  <si>
    <t>Nemipteridae</t>
  </si>
  <si>
    <t>Nemipterus japonicus</t>
  </si>
  <si>
    <t>Ne. japonicus</t>
  </si>
  <si>
    <t>YS-RBJXY-2</t>
  </si>
  <si>
    <t>YS-RBJXY-3</t>
  </si>
  <si>
    <t>YS-RWXLT-1</t>
  </si>
  <si>
    <t>Tetraodontiformes</t>
  </si>
  <si>
    <t>Monacanthidae</t>
  </si>
  <si>
    <t>Paramonacanthus sulcatus</t>
  </si>
  <si>
    <t>Pa. sulcatus</t>
  </si>
  <si>
    <t>YS-RWXLT-2</t>
  </si>
  <si>
    <t>YS-RWXLT-3</t>
  </si>
  <si>
    <t>YS-ZBTTT-1</t>
  </si>
  <si>
    <t>Tetraodontidae</t>
  </si>
  <si>
    <t>Lagocephalus spadiceus</t>
  </si>
  <si>
    <t>La. spadiceus</t>
  </si>
  <si>
    <t>YS-ZBTTT-2</t>
  </si>
  <si>
    <t>YS-ZBTTT-3</t>
  </si>
  <si>
    <t>YS-JTZCS-1</t>
  </si>
  <si>
    <t>Chondrichthyes</t>
  </si>
  <si>
    <t>Carcharhiniformes</t>
  </si>
  <si>
    <t>Carcharhinidae</t>
  </si>
  <si>
    <t>Scoliodon macrorhynchos</t>
  </si>
  <si>
    <t>Sc. macrorhynchos</t>
  </si>
  <si>
    <t>YS-JZH-1</t>
  </si>
  <si>
    <t>Myliobatiformes</t>
  </si>
  <si>
    <t>Dasyatidae</t>
  </si>
  <si>
    <t>Telatrygon zugei</t>
  </si>
  <si>
    <t>Te. zugei</t>
  </si>
  <si>
    <t>YS-JZH-2</t>
  </si>
  <si>
    <t>YS-JZH-3</t>
  </si>
  <si>
    <t>positive_class_count</t>
  </si>
  <si>
    <t>pathogen_positive</t>
  </si>
  <si>
    <t>combination</t>
  </si>
  <si>
    <t>fish_count</t>
  </si>
  <si>
    <t>proportion_positive_72</t>
  </si>
  <si>
    <t>proportion_all_112</t>
  </si>
  <si>
    <t>old_count</t>
  </si>
  <si>
    <t>audit_status</t>
  </si>
  <si>
    <t>match</t>
  </si>
  <si>
    <t>Bacteria + Eukaryota</t>
  </si>
  <si>
    <t>DNA virus + Eukaryota</t>
  </si>
  <si>
    <t>DNA virus + Bacteria</t>
  </si>
  <si>
    <t>DNA virus + Bacteria + Eukaryota</t>
  </si>
  <si>
    <t>RNA virus + Eukaryota</t>
  </si>
  <si>
    <t>RNA virus + Bacteria</t>
  </si>
  <si>
    <t>RNA virus + Bacteria + Eukaryota</t>
  </si>
  <si>
    <t>RNA virus + DNA virus</t>
  </si>
  <si>
    <t>RNA virus + DNA virus + Eukaryota</t>
  </si>
  <si>
    <t>RNA virus + DNA virus + Bacteria</t>
  </si>
  <si>
    <t>RNA virus + DNA virus + Bacteria + Eukaryota</t>
  </si>
  <si>
    <t>pathogen_class</t>
  </si>
  <si>
    <t>positive_fish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</si>
</sst>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0.00%"/>
  </numFmts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8C8D8"/>
      </left>
      <right style="thin">
        <color rgb="FFB8C8D8"/>
      </right>
      <top style="thin">
        <color rgb="FFB8C8D8"/>
      </top>
      <bottom style="thin">
        <color rgb="FFB8C8D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164" fontId="2" fillId="0" borderId="0" xfId="0" applyNumberFormat="1" applyFont="1"/>
    <xf numFmtId="1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4.7109375" customWidth="1"/>
    <col min="2" max="2" width="1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6.7109375" customWidth="1"/>
    <col min="3" max="3" width="31.7109375" customWidth="1"/>
    <col min="4" max="4" width="22.7109375" customWidth="1"/>
    <col min="5" max="5" width="31.7109375" customWidth="1"/>
    <col min="6" max="6" width="23.7109375" customWidth="1"/>
    <col min="7" max="10" width="16.7109375" customWidth="1"/>
  </cols>
  <sheetData>
    <row r="1" spans="1:10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4">
        <v>19.96790222</v>
      </c>
      <c r="H2" s="4">
        <v>1.538723882</v>
      </c>
      <c r="I2" s="4">
        <v>0</v>
      </c>
      <c r="J2" s="4">
        <v>0</v>
      </c>
    </row>
    <row r="3" spans="1:10">
      <c r="A3" s="2" t="s">
        <v>28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4">
        <v>150.912684449</v>
      </c>
      <c r="H3" s="4">
        <v>0</v>
      </c>
      <c r="I3" s="4">
        <v>0</v>
      </c>
      <c r="J3" s="4">
        <v>0</v>
      </c>
    </row>
    <row r="4" spans="1:10">
      <c r="A4" s="2" t="s">
        <v>29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4">
        <v>124.239354805</v>
      </c>
      <c r="H4" s="4">
        <v>0</v>
      </c>
      <c r="I4" s="4">
        <v>0</v>
      </c>
      <c r="J4" s="4">
        <v>0</v>
      </c>
    </row>
    <row r="5" spans="1:10">
      <c r="A5" s="2" t="s">
        <v>30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4">
        <v>581.6051429930001</v>
      </c>
      <c r="H5" s="4">
        <v>0</v>
      </c>
      <c r="I5" s="4">
        <v>0</v>
      </c>
      <c r="J5" s="4">
        <v>0</v>
      </c>
    </row>
    <row r="6" spans="1:10">
      <c r="A6" s="2" t="s">
        <v>31</v>
      </c>
      <c r="B6" s="2" t="s">
        <v>23</v>
      </c>
      <c r="C6" s="2" t="s">
        <v>32</v>
      </c>
      <c r="D6" s="2" t="s">
        <v>33</v>
      </c>
      <c r="E6" s="2" t="s">
        <v>34</v>
      </c>
      <c r="F6" s="2" t="s">
        <v>35</v>
      </c>
      <c r="G6" s="4">
        <v>1333.710884434</v>
      </c>
      <c r="H6" s="4">
        <v>0</v>
      </c>
      <c r="I6" s="4">
        <v>0</v>
      </c>
      <c r="J6" s="4">
        <v>0</v>
      </c>
    </row>
    <row r="7" spans="1:10">
      <c r="A7" s="2" t="s">
        <v>36</v>
      </c>
      <c r="B7" s="2" t="s">
        <v>23</v>
      </c>
      <c r="C7" s="2" t="s">
        <v>32</v>
      </c>
      <c r="D7" s="2" t="s">
        <v>33</v>
      </c>
      <c r="E7" s="2" t="s">
        <v>34</v>
      </c>
      <c r="F7" s="2" t="s">
        <v>35</v>
      </c>
      <c r="G7" s="4">
        <v>1361.197772841</v>
      </c>
      <c r="H7" s="4">
        <v>0</v>
      </c>
      <c r="I7" s="4">
        <v>0</v>
      </c>
      <c r="J7" s="4">
        <v>7.664028001</v>
      </c>
    </row>
    <row r="8" spans="1:10">
      <c r="A8" s="2" t="s">
        <v>37</v>
      </c>
      <c r="B8" s="2" t="s">
        <v>23</v>
      </c>
      <c r="C8" s="2" t="s">
        <v>32</v>
      </c>
      <c r="D8" s="2" t="s">
        <v>33</v>
      </c>
      <c r="E8" s="2" t="s">
        <v>34</v>
      </c>
      <c r="F8" s="2" t="s">
        <v>35</v>
      </c>
      <c r="G8" s="4">
        <v>3.855969055</v>
      </c>
      <c r="H8" s="4">
        <v>19.534856705</v>
      </c>
      <c r="I8" s="4">
        <v>0</v>
      </c>
      <c r="J8" s="4">
        <v>8.97189129</v>
      </c>
    </row>
    <row r="9" spans="1:10">
      <c r="A9" s="2" t="s">
        <v>38</v>
      </c>
      <c r="B9" s="2" t="s">
        <v>23</v>
      </c>
      <c r="C9" s="2" t="s">
        <v>32</v>
      </c>
      <c r="D9" s="2" t="s">
        <v>33</v>
      </c>
      <c r="E9" s="2" t="s">
        <v>39</v>
      </c>
      <c r="F9" s="2" t="s">
        <v>40</v>
      </c>
      <c r="G9" s="4">
        <v>0</v>
      </c>
      <c r="H9" s="4">
        <v>0</v>
      </c>
      <c r="I9" s="4">
        <v>0</v>
      </c>
      <c r="J9" s="4">
        <v>0</v>
      </c>
    </row>
    <row r="10" spans="1:10">
      <c r="A10" s="2" t="s">
        <v>41</v>
      </c>
      <c r="B10" s="2" t="s">
        <v>23</v>
      </c>
      <c r="C10" s="2" t="s">
        <v>32</v>
      </c>
      <c r="D10" s="2" t="s">
        <v>33</v>
      </c>
      <c r="E10" s="2" t="s">
        <v>39</v>
      </c>
      <c r="F10" s="2" t="s">
        <v>40</v>
      </c>
      <c r="G10" s="4">
        <v>0</v>
      </c>
      <c r="H10" s="4">
        <v>0</v>
      </c>
      <c r="I10" s="4">
        <v>10.77478099629636</v>
      </c>
      <c r="J10" s="4">
        <v>27.384686073</v>
      </c>
    </row>
    <row r="11" spans="1:10">
      <c r="A11" s="2" t="s">
        <v>42</v>
      </c>
      <c r="B11" s="2" t="s">
        <v>23</v>
      </c>
      <c r="C11" s="2" t="s">
        <v>32</v>
      </c>
      <c r="D11" s="2" t="s">
        <v>33</v>
      </c>
      <c r="E11" s="2" t="s">
        <v>39</v>
      </c>
      <c r="F11" s="2" t="s">
        <v>40</v>
      </c>
      <c r="G11" s="4">
        <v>0</v>
      </c>
      <c r="H11" s="4">
        <v>0</v>
      </c>
      <c r="I11" s="4">
        <v>0</v>
      </c>
      <c r="J11" s="4">
        <v>1.886031544</v>
      </c>
    </row>
    <row r="12" spans="1:10">
      <c r="A12" s="2" t="s">
        <v>43</v>
      </c>
      <c r="B12" s="2" t="s">
        <v>23</v>
      </c>
      <c r="C12" s="2" t="s">
        <v>32</v>
      </c>
      <c r="D12" s="2" t="s">
        <v>33</v>
      </c>
      <c r="E12" s="2" t="s">
        <v>44</v>
      </c>
      <c r="F12" s="2" t="s">
        <v>45</v>
      </c>
      <c r="G12" s="4">
        <v>4766.4064699</v>
      </c>
      <c r="H12" s="4">
        <v>32.992962236</v>
      </c>
      <c r="I12" s="4">
        <v>0</v>
      </c>
      <c r="J12" s="4">
        <v>18.77040603</v>
      </c>
    </row>
    <row r="13" spans="1:10">
      <c r="A13" s="2" t="s">
        <v>46</v>
      </c>
      <c r="B13" s="2" t="s">
        <v>23</v>
      </c>
      <c r="C13" s="2" t="s">
        <v>32</v>
      </c>
      <c r="D13" s="2" t="s">
        <v>33</v>
      </c>
      <c r="E13" s="2" t="s">
        <v>44</v>
      </c>
      <c r="F13" s="2" t="s">
        <v>45</v>
      </c>
      <c r="G13" s="4">
        <v>0</v>
      </c>
      <c r="H13" s="4">
        <v>0</v>
      </c>
      <c r="I13" s="4">
        <v>0</v>
      </c>
      <c r="J13" s="4">
        <v>37.100606105</v>
      </c>
    </row>
    <row r="14" spans="1:10">
      <c r="A14" s="2" t="s">
        <v>47</v>
      </c>
      <c r="B14" s="2" t="s">
        <v>23</v>
      </c>
      <c r="C14" s="2" t="s">
        <v>32</v>
      </c>
      <c r="D14" s="2" t="s">
        <v>33</v>
      </c>
      <c r="E14" s="2" t="s">
        <v>44</v>
      </c>
      <c r="F14" s="2" t="s">
        <v>45</v>
      </c>
      <c r="G14" s="4">
        <v>809.59063465</v>
      </c>
      <c r="H14" s="4">
        <v>0</v>
      </c>
      <c r="I14" s="4">
        <v>0</v>
      </c>
      <c r="J14" s="4">
        <v>40.525632256</v>
      </c>
    </row>
    <row r="15" spans="1:10">
      <c r="A15" s="2" t="s">
        <v>48</v>
      </c>
      <c r="B15" s="2" t="s">
        <v>23</v>
      </c>
      <c r="C15" s="2" t="s">
        <v>49</v>
      </c>
      <c r="D15" s="2" t="s">
        <v>50</v>
      </c>
      <c r="E15" s="2" t="s">
        <v>51</v>
      </c>
      <c r="F15" s="2" t="s">
        <v>52</v>
      </c>
      <c r="G15" s="4">
        <v>888.4599416819999</v>
      </c>
      <c r="H15" s="4">
        <v>0</v>
      </c>
      <c r="I15" s="4">
        <v>0</v>
      </c>
      <c r="J15" s="4">
        <v>25.542672909</v>
      </c>
    </row>
    <row r="16" spans="1:10">
      <c r="A16" s="2" t="s">
        <v>53</v>
      </c>
      <c r="B16" s="2" t="s">
        <v>23</v>
      </c>
      <c r="C16" s="2" t="s">
        <v>49</v>
      </c>
      <c r="D16" s="2" t="s">
        <v>50</v>
      </c>
      <c r="E16" s="2" t="s">
        <v>51</v>
      </c>
      <c r="F16" s="2" t="s">
        <v>52</v>
      </c>
      <c r="G16" s="4">
        <v>0</v>
      </c>
      <c r="H16" s="4">
        <v>0</v>
      </c>
      <c r="I16" s="4">
        <v>0</v>
      </c>
      <c r="J16" s="4">
        <v>0</v>
      </c>
    </row>
    <row r="17" spans="1:10">
      <c r="A17" s="2" t="s">
        <v>54</v>
      </c>
      <c r="B17" s="2" t="s">
        <v>23</v>
      </c>
      <c r="C17" s="2" t="s">
        <v>49</v>
      </c>
      <c r="D17" s="2" t="s">
        <v>50</v>
      </c>
      <c r="E17" s="2" t="s">
        <v>51</v>
      </c>
      <c r="F17" s="2" t="s">
        <v>52</v>
      </c>
      <c r="G17" s="4">
        <v>47.211251646</v>
      </c>
      <c r="H17" s="4">
        <v>0</v>
      </c>
      <c r="I17" s="4">
        <v>0</v>
      </c>
      <c r="J17" s="4">
        <v>50.60070468</v>
      </c>
    </row>
    <row r="18" spans="1:10">
      <c r="A18" s="2" t="s">
        <v>55</v>
      </c>
      <c r="B18" s="2" t="s">
        <v>23</v>
      </c>
      <c r="C18" s="2" t="s">
        <v>49</v>
      </c>
      <c r="D18" s="2" t="s">
        <v>50</v>
      </c>
      <c r="E18" s="2" t="s">
        <v>56</v>
      </c>
      <c r="F18" s="2" t="s">
        <v>57</v>
      </c>
      <c r="G18" s="4">
        <v>0</v>
      </c>
      <c r="H18" s="4">
        <v>0</v>
      </c>
      <c r="I18" s="4">
        <v>0</v>
      </c>
      <c r="J18" s="4">
        <v>17.11322044</v>
      </c>
    </row>
    <row r="19" spans="1:10">
      <c r="A19" s="2" t="s">
        <v>58</v>
      </c>
      <c r="B19" s="2" t="s">
        <v>23</v>
      </c>
      <c r="C19" s="2" t="s">
        <v>59</v>
      </c>
      <c r="D19" s="2" t="s">
        <v>60</v>
      </c>
      <c r="E19" s="2" t="s">
        <v>61</v>
      </c>
      <c r="F19" s="2" t="s">
        <v>62</v>
      </c>
      <c r="G19" s="4">
        <v>0</v>
      </c>
      <c r="H19" s="4">
        <v>0</v>
      </c>
      <c r="I19" s="4">
        <v>0</v>
      </c>
      <c r="J19" s="4">
        <v>67.49622547999999</v>
      </c>
    </row>
    <row r="20" spans="1:10">
      <c r="A20" s="2" t="s">
        <v>63</v>
      </c>
      <c r="B20" s="2" t="s">
        <v>23</v>
      </c>
      <c r="C20" s="2" t="s">
        <v>64</v>
      </c>
      <c r="D20" s="2" t="s">
        <v>65</v>
      </c>
      <c r="E20" s="2" t="s">
        <v>66</v>
      </c>
      <c r="F20" s="2" t="s">
        <v>67</v>
      </c>
      <c r="G20" s="4">
        <v>6.653213008</v>
      </c>
      <c r="H20" s="4">
        <v>0</v>
      </c>
      <c r="I20" s="4">
        <v>0</v>
      </c>
      <c r="J20" s="4">
        <v>0</v>
      </c>
    </row>
    <row r="21" spans="1:10">
      <c r="A21" s="2" t="s">
        <v>68</v>
      </c>
      <c r="B21" s="2" t="s">
        <v>23</v>
      </c>
      <c r="C21" s="2" t="s">
        <v>64</v>
      </c>
      <c r="D21" s="2" t="s">
        <v>65</v>
      </c>
      <c r="E21" s="2" t="s">
        <v>66</v>
      </c>
      <c r="F21" s="2" t="s">
        <v>67</v>
      </c>
      <c r="G21" s="4">
        <v>0</v>
      </c>
      <c r="H21" s="4">
        <v>0</v>
      </c>
      <c r="I21" s="4">
        <v>1.056071791</v>
      </c>
      <c r="J21" s="4">
        <v>0</v>
      </c>
    </row>
    <row r="22" spans="1:10">
      <c r="A22" s="2" t="s">
        <v>69</v>
      </c>
      <c r="B22" s="2" t="s">
        <v>23</v>
      </c>
      <c r="C22" s="2" t="s">
        <v>64</v>
      </c>
      <c r="D22" s="2" t="s">
        <v>65</v>
      </c>
      <c r="E22" s="2" t="s">
        <v>66</v>
      </c>
      <c r="F22" s="2" t="s">
        <v>67</v>
      </c>
      <c r="G22" s="4">
        <v>26.50888192</v>
      </c>
      <c r="H22" s="4">
        <v>0</v>
      </c>
      <c r="I22" s="4">
        <v>0</v>
      </c>
      <c r="J22" s="4">
        <v>0</v>
      </c>
    </row>
    <row r="23" spans="1:10">
      <c r="A23" s="2" t="s">
        <v>70</v>
      </c>
      <c r="B23" s="2" t="s">
        <v>23</v>
      </c>
      <c r="C23" s="2" t="s">
        <v>71</v>
      </c>
      <c r="D23" s="2" t="s">
        <v>72</v>
      </c>
      <c r="E23" s="2" t="s">
        <v>73</v>
      </c>
      <c r="F23" s="2" t="s">
        <v>74</v>
      </c>
      <c r="G23" s="4">
        <v>0</v>
      </c>
      <c r="H23" s="4">
        <v>0</v>
      </c>
      <c r="I23" s="4">
        <v>0</v>
      </c>
      <c r="J23" s="4">
        <v>0</v>
      </c>
    </row>
    <row r="24" spans="1:10">
      <c r="A24" s="2" t="s">
        <v>75</v>
      </c>
      <c r="B24" s="2" t="s">
        <v>23</v>
      </c>
      <c r="C24" s="2" t="s">
        <v>71</v>
      </c>
      <c r="D24" s="2" t="s">
        <v>72</v>
      </c>
      <c r="E24" s="2" t="s">
        <v>73</v>
      </c>
      <c r="F24" s="2" t="s">
        <v>74</v>
      </c>
      <c r="G24" s="4">
        <v>0</v>
      </c>
      <c r="H24" s="4">
        <v>0</v>
      </c>
      <c r="I24" s="4">
        <v>0</v>
      </c>
      <c r="J24" s="4">
        <v>0</v>
      </c>
    </row>
    <row r="25" spans="1:10">
      <c r="A25" s="2" t="s">
        <v>76</v>
      </c>
      <c r="B25" s="2" t="s">
        <v>23</v>
      </c>
      <c r="C25" s="2" t="s">
        <v>71</v>
      </c>
      <c r="D25" s="2" t="s">
        <v>72</v>
      </c>
      <c r="E25" s="2" t="s">
        <v>73</v>
      </c>
      <c r="F25" s="2" t="s">
        <v>74</v>
      </c>
      <c r="G25" s="4">
        <v>0</v>
      </c>
      <c r="H25" s="4">
        <v>0</v>
      </c>
      <c r="I25" s="4">
        <v>0</v>
      </c>
      <c r="J25" s="4">
        <v>0</v>
      </c>
    </row>
    <row r="26" spans="1:10">
      <c r="A26" s="2" t="s">
        <v>77</v>
      </c>
      <c r="B26" s="2" t="s">
        <v>23</v>
      </c>
      <c r="C26" s="2" t="s">
        <v>71</v>
      </c>
      <c r="D26" s="2" t="s">
        <v>78</v>
      </c>
      <c r="E26" s="2" t="s">
        <v>79</v>
      </c>
      <c r="F26" s="2" t="s">
        <v>80</v>
      </c>
      <c r="G26" s="4">
        <v>23.44087083</v>
      </c>
      <c r="H26" s="4">
        <v>0</v>
      </c>
      <c r="I26" s="4">
        <v>0</v>
      </c>
      <c r="J26" s="4">
        <v>0</v>
      </c>
    </row>
    <row r="27" spans="1:10">
      <c r="A27" s="2" t="s">
        <v>81</v>
      </c>
      <c r="B27" s="2" t="s">
        <v>23</v>
      </c>
      <c r="C27" s="2" t="s">
        <v>71</v>
      </c>
      <c r="D27" s="2" t="s">
        <v>78</v>
      </c>
      <c r="E27" s="2" t="s">
        <v>79</v>
      </c>
      <c r="F27" s="2" t="s">
        <v>80</v>
      </c>
      <c r="G27" s="4">
        <v>0</v>
      </c>
      <c r="H27" s="4">
        <v>0</v>
      </c>
      <c r="I27" s="4">
        <v>0</v>
      </c>
      <c r="J27" s="4">
        <v>0</v>
      </c>
    </row>
    <row r="28" spans="1:10">
      <c r="A28" s="2" t="s">
        <v>82</v>
      </c>
      <c r="B28" s="2" t="s">
        <v>23</v>
      </c>
      <c r="C28" s="2" t="s">
        <v>71</v>
      </c>
      <c r="D28" s="2" t="s">
        <v>78</v>
      </c>
      <c r="E28" s="2" t="s">
        <v>79</v>
      </c>
      <c r="F28" s="2" t="s">
        <v>80</v>
      </c>
      <c r="G28" s="4">
        <v>0</v>
      </c>
      <c r="H28" s="4">
        <v>0</v>
      </c>
      <c r="I28" s="4">
        <v>0</v>
      </c>
      <c r="J28" s="4">
        <v>0</v>
      </c>
    </row>
    <row r="29" spans="1:10">
      <c r="A29" s="2" t="s">
        <v>83</v>
      </c>
      <c r="B29" s="2" t="s">
        <v>23</v>
      </c>
      <c r="C29" s="2" t="s">
        <v>71</v>
      </c>
      <c r="D29" s="2" t="s">
        <v>78</v>
      </c>
      <c r="E29" s="2" t="s">
        <v>84</v>
      </c>
      <c r="F29" s="2" t="s">
        <v>85</v>
      </c>
      <c r="G29" s="4">
        <v>0</v>
      </c>
      <c r="H29" s="4">
        <v>0</v>
      </c>
      <c r="I29" s="4">
        <v>0</v>
      </c>
      <c r="J29" s="4">
        <v>0</v>
      </c>
    </row>
    <row r="30" spans="1:10">
      <c r="A30" s="2" t="s">
        <v>86</v>
      </c>
      <c r="B30" s="2" t="s">
        <v>23</v>
      </c>
      <c r="C30" s="2" t="s">
        <v>71</v>
      </c>
      <c r="D30" s="2" t="s">
        <v>78</v>
      </c>
      <c r="E30" s="2" t="s">
        <v>84</v>
      </c>
      <c r="F30" s="2" t="s">
        <v>85</v>
      </c>
      <c r="G30" s="4">
        <v>0</v>
      </c>
      <c r="H30" s="4">
        <v>0</v>
      </c>
      <c r="I30" s="4">
        <v>0</v>
      </c>
      <c r="J30" s="4">
        <v>0</v>
      </c>
    </row>
    <row r="31" spans="1:10">
      <c r="A31" s="2" t="s">
        <v>87</v>
      </c>
      <c r="B31" s="2" t="s">
        <v>23</v>
      </c>
      <c r="C31" s="2" t="s">
        <v>71</v>
      </c>
      <c r="D31" s="2" t="s">
        <v>78</v>
      </c>
      <c r="E31" s="2" t="s">
        <v>84</v>
      </c>
      <c r="F31" s="2" t="s">
        <v>85</v>
      </c>
      <c r="G31" s="4">
        <v>89.54396997400001</v>
      </c>
      <c r="H31" s="4">
        <v>0</v>
      </c>
      <c r="I31" s="4">
        <v>0</v>
      </c>
      <c r="J31" s="4">
        <v>0</v>
      </c>
    </row>
    <row r="32" spans="1:10">
      <c r="A32" s="2" t="s">
        <v>88</v>
      </c>
      <c r="B32" s="2" t="s">
        <v>23</v>
      </c>
      <c r="C32" s="2" t="s">
        <v>71</v>
      </c>
      <c r="D32" s="2" t="s">
        <v>89</v>
      </c>
      <c r="E32" s="2" t="s">
        <v>90</v>
      </c>
      <c r="F32" s="2" t="s">
        <v>91</v>
      </c>
      <c r="G32" s="4">
        <v>0</v>
      </c>
      <c r="H32" s="4">
        <v>0</v>
      </c>
      <c r="I32" s="4">
        <v>0</v>
      </c>
      <c r="J32" s="4">
        <v>0</v>
      </c>
    </row>
    <row r="33" spans="1:10">
      <c r="A33" s="2" t="s">
        <v>92</v>
      </c>
      <c r="B33" s="2" t="s">
        <v>23</v>
      </c>
      <c r="C33" s="2" t="s">
        <v>71</v>
      </c>
      <c r="D33" s="2" t="s">
        <v>89</v>
      </c>
      <c r="E33" s="2" t="s">
        <v>90</v>
      </c>
      <c r="F33" s="2" t="s">
        <v>91</v>
      </c>
      <c r="G33" s="4">
        <v>0.634575993</v>
      </c>
      <c r="H33" s="4">
        <v>0</v>
      </c>
      <c r="I33" s="4">
        <v>0</v>
      </c>
      <c r="J33" s="4">
        <v>2.160702625</v>
      </c>
    </row>
    <row r="34" spans="1:10">
      <c r="A34" s="2" t="s">
        <v>93</v>
      </c>
      <c r="B34" s="2" t="s">
        <v>23</v>
      </c>
      <c r="C34" s="2" t="s">
        <v>71</v>
      </c>
      <c r="D34" s="2" t="s">
        <v>78</v>
      </c>
      <c r="E34" s="2" t="s">
        <v>79</v>
      </c>
      <c r="F34" s="2" t="s">
        <v>80</v>
      </c>
      <c r="G34" s="4">
        <v>0</v>
      </c>
      <c r="H34" s="4">
        <v>0</v>
      </c>
      <c r="I34" s="4">
        <v>0</v>
      </c>
      <c r="J34" s="4">
        <v>0</v>
      </c>
    </row>
    <row r="35" spans="1:10">
      <c r="A35" s="2" t="s">
        <v>94</v>
      </c>
      <c r="B35" s="2" t="s">
        <v>23</v>
      </c>
      <c r="C35" s="2" t="s">
        <v>71</v>
      </c>
      <c r="D35" s="2" t="s">
        <v>78</v>
      </c>
      <c r="E35" s="2" t="s">
        <v>79</v>
      </c>
      <c r="F35" s="2" t="s">
        <v>80</v>
      </c>
      <c r="G35" s="4">
        <v>1.712438238</v>
      </c>
      <c r="H35" s="4">
        <v>0</v>
      </c>
      <c r="I35" s="4">
        <v>10.3798193086293</v>
      </c>
      <c r="J35" s="4">
        <v>28.093695822</v>
      </c>
    </row>
    <row r="36" spans="1:10">
      <c r="A36" s="2" t="s">
        <v>95</v>
      </c>
      <c r="B36" s="2" t="s">
        <v>23</v>
      </c>
      <c r="C36" s="2" t="s">
        <v>71</v>
      </c>
      <c r="D36" s="2" t="s">
        <v>78</v>
      </c>
      <c r="E36" s="2" t="s">
        <v>79</v>
      </c>
      <c r="F36" s="2" t="s">
        <v>80</v>
      </c>
      <c r="G36" s="4">
        <v>0</v>
      </c>
      <c r="H36" s="4">
        <v>0</v>
      </c>
      <c r="I36" s="4">
        <v>1.608124087</v>
      </c>
      <c r="J36" s="4">
        <v>0</v>
      </c>
    </row>
    <row r="37" spans="1:10">
      <c r="A37" s="2" t="s">
        <v>96</v>
      </c>
      <c r="B37" s="2" t="s">
        <v>23</v>
      </c>
      <c r="C37" s="2" t="s">
        <v>71</v>
      </c>
      <c r="D37" s="2" t="s">
        <v>78</v>
      </c>
      <c r="E37" s="2" t="s">
        <v>97</v>
      </c>
      <c r="F37" s="2" t="s">
        <v>98</v>
      </c>
      <c r="G37" s="4">
        <v>0</v>
      </c>
      <c r="H37" s="4">
        <v>0</v>
      </c>
      <c r="I37" s="4">
        <v>0</v>
      </c>
      <c r="J37" s="4">
        <v>0</v>
      </c>
    </row>
    <row r="38" spans="1:10">
      <c r="A38" s="2" t="s">
        <v>99</v>
      </c>
      <c r="B38" s="2" t="s">
        <v>23</v>
      </c>
      <c r="C38" s="2" t="s">
        <v>71</v>
      </c>
      <c r="D38" s="2" t="s">
        <v>78</v>
      </c>
      <c r="E38" s="2" t="s">
        <v>97</v>
      </c>
      <c r="F38" s="2" t="s">
        <v>98</v>
      </c>
      <c r="G38" s="4">
        <v>0</v>
      </c>
      <c r="H38" s="4">
        <v>0</v>
      </c>
      <c r="I38" s="4">
        <v>0</v>
      </c>
      <c r="J38" s="4">
        <v>0</v>
      </c>
    </row>
    <row r="39" spans="1:10">
      <c r="A39" s="2" t="s">
        <v>100</v>
      </c>
      <c r="B39" s="2" t="s">
        <v>23</v>
      </c>
      <c r="C39" s="2" t="s">
        <v>71</v>
      </c>
      <c r="D39" s="2" t="s">
        <v>78</v>
      </c>
      <c r="E39" s="2" t="s">
        <v>97</v>
      </c>
      <c r="F39" s="2" t="s">
        <v>98</v>
      </c>
      <c r="G39" s="4">
        <v>1.831828347</v>
      </c>
      <c r="H39" s="4">
        <v>0</v>
      </c>
      <c r="I39" s="4">
        <v>0</v>
      </c>
      <c r="J39" s="4">
        <v>0</v>
      </c>
    </row>
    <row r="40" spans="1:10">
      <c r="A40" s="2" t="s">
        <v>101</v>
      </c>
      <c r="B40" s="2" t="s">
        <v>23</v>
      </c>
      <c r="C40" s="2" t="s">
        <v>71</v>
      </c>
      <c r="D40" s="2" t="s">
        <v>78</v>
      </c>
      <c r="E40" s="2" t="s">
        <v>97</v>
      </c>
      <c r="F40" s="2" t="s">
        <v>98</v>
      </c>
      <c r="G40" s="4">
        <v>0</v>
      </c>
      <c r="H40" s="4">
        <v>0</v>
      </c>
      <c r="I40" s="4">
        <v>0</v>
      </c>
      <c r="J40" s="4">
        <v>0</v>
      </c>
    </row>
    <row r="41" spans="1:10">
      <c r="A41" s="2" t="s">
        <v>102</v>
      </c>
      <c r="B41" s="2" t="s">
        <v>23</v>
      </c>
      <c r="C41" s="2" t="s">
        <v>71</v>
      </c>
      <c r="D41" s="2" t="s">
        <v>78</v>
      </c>
      <c r="E41" s="2" t="s">
        <v>97</v>
      </c>
      <c r="F41" s="2" t="s">
        <v>98</v>
      </c>
      <c r="G41" s="4">
        <v>0</v>
      </c>
      <c r="H41" s="4">
        <v>0</v>
      </c>
      <c r="I41" s="4">
        <v>0</v>
      </c>
      <c r="J41" s="4">
        <v>0</v>
      </c>
    </row>
    <row r="42" spans="1:10">
      <c r="A42" s="2" t="s">
        <v>103</v>
      </c>
      <c r="B42" s="2" t="s">
        <v>23</v>
      </c>
      <c r="C42" s="2" t="s">
        <v>71</v>
      </c>
      <c r="D42" s="2" t="s">
        <v>78</v>
      </c>
      <c r="E42" s="2" t="s">
        <v>97</v>
      </c>
      <c r="F42" s="2" t="s">
        <v>98</v>
      </c>
      <c r="G42" s="4">
        <v>0</v>
      </c>
      <c r="H42" s="4">
        <v>0</v>
      </c>
      <c r="I42" s="4">
        <v>0</v>
      </c>
      <c r="J42" s="4">
        <v>0</v>
      </c>
    </row>
    <row r="43" spans="1:10">
      <c r="A43" s="2" t="s">
        <v>104</v>
      </c>
      <c r="B43" s="2" t="s">
        <v>23</v>
      </c>
      <c r="C43" s="2" t="s">
        <v>71</v>
      </c>
      <c r="D43" s="2" t="s">
        <v>89</v>
      </c>
      <c r="E43" s="2" t="s">
        <v>105</v>
      </c>
      <c r="F43" s="2" t="s">
        <v>106</v>
      </c>
      <c r="G43" s="4">
        <v>0</v>
      </c>
      <c r="H43" s="4">
        <v>0</v>
      </c>
      <c r="I43" s="4">
        <v>8.641348785102771</v>
      </c>
      <c r="J43" s="4">
        <v>2.134007357</v>
      </c>
    </row>
    <row r="44" spans="1:10">
      <c r="A44" s="2" t="s">
        <v>107</v>
      </c>
      <c r="B44" s="2" t="s">
        <v>23</v>
      </c>
      <c r="C44" s="2" t="s">
        <v>71</v>
      </c>
      <c r="D44" s="2" t="s">
        <v>89</v>
      </c>
      <c r="E44" s="2" t="s">
        <v>105</v>
      </c>
      <c r="F44" s="2" t="s">
        <v>106</v>
      </c>
      <c r="G44" s="4">
        <v>0</v>
      </c>
      <c r="H44" s="4">
        <v>0</v>
      </c>
      <c r="I44" s="4">
        <v>1.071833613</v>
      </c>
      <c r="J44" s="4">
        <v>0</v>
      </c>
    </row>
    <row r="45" spans="1:10">
      <c r="A45" s="2" t="s">
        <v>108</v>
      </c>
      <c r="B45" s="2" t="s">
        <v>23</v>
      </c>
      <c r="C45" s="2" t="s">
        <v>71</v>
      </c>
      <c r="D45" s="2" t="s">
        <v>89</v>
      </c>
      <c r="E45" s="2" t="s">
        <v>105</v>
      </c>
      <c r="F45" s="2" t="s">
        <v>106</v>
      </c>
      <c r="G45" s="4">
        <v>0</v>
      </c>
      <c r="H45" s="4">
        <v>0</v>
      </c>
      <c r="I45" s="4">
        <v>0</v>
      </c>
      <c r="J45" s="4">
        <v>0</v>
      </c>
    </row>
    <row r="46" spans="1:10">
      <c r="A46" s="2" t="s">
        <v>109</v>
      </c>
      <c r="B46" s="2" t="s">
        <v>23</v>
      </c>
      <c r="C46" s="2" t="s">
        <v>71</v>
      </c>
      <c r="D46" s="2" t="s">
        <v>78</v>
      </c>
      <c r="E46" s="2" t="s">
        <v>110</v>
      </c>
      <c r="F46" s="2" t="s">
        <v>111</v>
      </c>
      <c r="G46" s="4">
        <v>0</v>
      </c>
      <c r="H46" s="4">
        <v>0</v>
      </c>
      <c r="I46" s="4">
        <v>9.516818808</v>
      </c>
      <c r="J46" s="4">
        <v>0</v>
      </c>
    </row>
    <row r="47" spans="1:10">
      <c r="A47" s="2" t="s">
        <v>112</v>
      </c>
      <c r="B47" s="2" t="s">
        <v>23</v>
      </c>
      <c r="C47" s="2" t="s">
        <v>71</v>
      </c>
      <c r="D47" s="2" t="s">
        <v>78</v>
      </c>
      <c r="E47" s="2" t="s">
        <v>110</v>
      </c>
      <c r="F47" s="2" t="s">
        <v>111</v>
      </c>
      <c r="G47" s="4">
        <v>0</v>
      </c>
      <c r="H47" s="4">
        <v>0</v>
      </c>
      <c r="I47" s="4">
        <v>0</v>
      </c>
      <c r="J47" s="4">
        <v>0</v>
      </c>
    </row>
    <row r="48" spans="1:10">
      <c r="A48" s="2" t="s">
        <v>113</v>
      </c>
      <c r="B48" s="2" t="s">
        <v>23</v>
      </c>
      <c r="C48" s="2" t="s">
        <v>71</v>
      </c>
      <c r="D48" s="2" t="s">
        <v>78</v>
      </c>
      <c r="E48" s="2" t="s">
        <v>110</v>
      </c>
      <c r="F48" s="2" t="s">
        <v>111</v>
      </c>
      <c r="G48" s="4">
        <v>0</v>
      </c>
      <c r="H48" s="4">
        <v>0</v>
      </c>
      <c r="I48" s="4">
        <v>4.609350883</v>
      </c>
      <c r="J48" s="4">
        <v>0</v>
      </c>
    </row>
    <row r="49" spans="1:10">
      <c r="A49" s="2" t="s">
        <v>114</v>
      </c>
      <c r="B49" s="2" t="s">
        <v>23</v>
      </c>
      <c r="C49" s="2" t="s">
        <v>71</v>
      </c>
      <c r="D49" s="2" t="s">
        <v>72</v>
      </c>
      <c r="E49" s="2" t="s">
        <v>115</v>
      </c>
      <c r="F49" s="2" t="s">
        <v>116</v>
      </c>
      <c r="G49" s="4">
        <v>1.382806351</v>
      </c>
      <c r="H49" s="4">
        <v>0</v>
      </c>
      <c r="I49" s="4">
        <v>0</v>
      </c>
      <c r="J49" s="4">
        <v>0</v>
      </c>
    </row>
    <row r="50" spans="1:10">
      <c r="A50" s="2" t="s">
        <v>117</v>
      </c>
      <c r="B50" s="2" t="s">
        <v>23</v>
      </c>
      <c r="C50" s="2" t="s">
        <v>71</v>
      </c>
      <c r="D50" s="2" t="s">
        <v>72</v>
      </c>
      <c r="E50" s="2" t="s">
        <v>115</v>
      </c>
      <c r="F50" s="2" t="s">
        <v>116</v>
      </c>
      <c r="G50" s="4">
        <v>0</v>
      </c>
      <c r="H50" s="4">
        <v>0</v>
      </c>
      <c r="I50" s="4">
        <v>0</v>
      </c>
      <c r="J50" s="4">
        <v>103.038103777</v>
      </c>
    </row>
    <row r="51" spans="1:10">
      <c r="A51" s="2" t="s">
        <v>118</v>
      </c>
      <c r="B51" s="2" t="s">
        <v>23</v>
      </c>
      <c r="C51" s="2" t="s">
        <v>71</v>
      </c>
      <c r="D51" s="2" t="s">
        <v>72</v>
      </c>
      <c r="E51" s="2" t="s">
        <v>115</v>
      </c>
      <c r="F51" s="2" t="s">
        <v>116</v>
      </c>
      <c r="G51" s="4">
        <v>0</v>
      </c>
      <c r="H51" s="4">
        <v>0</v>
      </c>
      <c r="I51" s="4">
        <v>0</v>
      </c>
      <c r="J51" s="4">
        <v>1.097242994</v>
      </c>
    </row>
    <row r="52" spans="1:10">
      <c r="A52" s="2" t="s">
        <v>119</v>
      </c>
      <c r="B52" s="2" t="s">
        <v>23</v>
      </c>
      <c r="C52" s="2" t="s">
        <v>71</v>
      </c>
      <c r="D52" s="2" t="s">
        <v>78</v>
      </c>
      <c r="E52" s="2" t="s">
        <v>120</v>
      </c>
      <c r="F52" s="2" t="s">
        <v>121</v>
      </c>
      <c r="G52" s="4">
        <v>0</v>
      </c>
      <c r="H52" s="4">
        <v>0</v>
      </c>
      <c r="I52" s="4">
        <v>0</v>
      </c>
      <c r="J52" s="4">
        <v>0</v>
      </c>
    </row>
    <row r="53" spans="1:10">
      <c r="A53" s="2" t="s">
        <v>122</v>
      </c>
      <c r="B53" s="2" t="s">
        <v>23</v>
      </c>
      <c r="C53" s="2" t="s">
        <v>71</v>
      </c>
      <c r="D53" s="2" t="s">
        <v>78</v>
      </c>
      <c r="E53" s="2" t="s">
        <v>123</v>
      </c>
      <c r="F53" s="2" t="s">
        <v>124</v>
      </c>
      <c r="G53" s="4">
        <v>0</v>
      </c>
      <c r="H53" s="4">
        <v>0</v>
      </c>
      <c r="I53" s="4">
        <v>0</v>
      </c>
      <c r="J53" s="4">
        <v>0</v>
      </c>
    </row>
    <row r="54" spans="1:10">
      <c r="A54" s="2" t="s">
        <v>125</v>
      </c>
      <c r="B54" s="2" t="s">
        <v>23</v>
      </c>
      <c r="C54" s="2" t="s">
        <v>71</v>
      </c>
      <c r="D54" s="2" t="s">
        <v>78</v>
      </c>
      <c r="E54" s="2" t="s">
        <v>123</v>
      </c>
      <c r="F54" s="2" t="s">
        <v>124</v>
      </c>
      <c r="G54" s="4">
        <v>0</v>
      </c>
      <c r="H54" s="4">
        <v>0</v>
      </c>
      <c r="I54" s="4">
        <v>0</v>
      </c>
      <c r="J54" s="4">
        <v>0</v>
      </c>
    </row>
    <row r="55" spans="1:10">
      <c r="A55" s="2" t="s">
        <v>126</v>
      </c>
      <c r="B55" s="2" t="s">
        <v>23</v>
      </c>
      <c r="C55" s="2" t="s">
        <v>71</v>
      </c>
      <c r="D55" s="2" t="s">
        <v>72</v>
      </c>
      <c r="E55" s="2" t="s">
        <v>127</v>
      </c>
      <c r="F55" s="2" t="s">
        <v>128</v>
      </c>
      <c r="G55" s="4">
        <v>0</v>
      </c>
      <c r="H55" s="4">
        <v>0</v>
      </c>
      <c r="I55" s="4">
        <v>1.021428867</v>
      </c>
      <c r="J55" s="4">
        <v>0</v>
      </c>
    </row>
    <row r="56" spans="1:10">
      <c r="A56" s="2" t="s">
        <v>129</v>
      </c>
      <c r="B56" s="2" t="s">
        <v>23</v>
      </c>
      <c r="C56" s="2" t="s">
        <v>71</v>
      </c>
      <c r="D56" s="2" t="s">
        <v>72</v>
      </c>
      <c r="E56" s="2" t="s">
        <v>130</v>
      </c>
      <c r="F56" s="2" t="s">
        <v>131</v>
      </c>
      <c r="G56" s="4">
        <v>0</v>
      </c>
      <c r="H56" s="4">
        <v>0</v>
      </c>
      <c r="I56" s="4">
        <v>0</v>
      </c>
      <c r="J56" s="4">
        <v>0</v>
      </c>
    </row>
    <row r="57" spans="1:10">
      <c r="A57" s="2" t="s">
        <v>132</v>
      </c>
      <c r="B57" s="2" t="s">
        <v>23</v>
      </c>
      <c r="C57" s="2" t="s">
        <v>71</v>
      </c>
      <c r="D57" s="2" t="s">
        <v>72</v>
      </c>
      <c r="E57" s="2" t="s">
        <v>130</v>
      </c>
      <c r="F57" s="2" t="s">
        <v>131</v>
      </c>
      <c r="G57" s="4">
        <v>0</v>
      </c>
      <c r="H57" s="4">
        <v>0</v>
      </c>
      <c r="I57" s="4">
        <v>2.702156865</v>
      </c>
      <c r="J57" s="4">
        <v>0</v>
      </c>
    </row>
    <row r="58" spans="1:10">
      <c r="A58" s="2" t="s">
        <v>133</v>
      </c>
      <c r="B58" s="2" t="s">
        <v>23</v>
      </c>
      <c r="C58" s="2" t="s">
        <v>134</v>
      </c>
      <c r="D58" s="2" t="s">
        <v>135</v>
      </c>
      <c r="E58" s="2" t="s">
        <v>136</v>
      </c>
      <c r="F58" s="2" t="s">
        <v>137</v>
      </c>
      <c r="G58" s="4">
        <v>0</v>
      </c>
      <c r="H58" s="4">
        <v>0</v>
      </c>
      <c r="I58" s="4">
        <v>0</v>
      </c>
      <c r="J58" s="4">
        <v>17.70900126</v>
      </c>
    </row>
    <row r="59" spans="1:10">
      <c r="A59" s="2" t="s">
        <v>138</v>
      </c>
      <c r="B59" s="2" t="s">
        <v>23</v>
      </c>
      <c r="C59" s="2" t="s">
        <v>134</v>
      </c>
      <c r="D59" s="2" t="s">
        <v>135</v>
      </c>
      <c r="E59" s="2" t="s">
        <v>136</v>
      </c>
      <c r="F59" s="2" t="s">
        <v>137</v>
      </c>
      <c r="G59" s="4">
        <v>0</v>
      </c>
      <c r="H59" s="4">
        <v>0</v>
      </c>
      <c r="I59" s="4">
        <v>0</v>
      </c>
      <c r="J59" s="4">
        <v>65.88998327</v>
      </c>
    </row>
    <row r="60" spans="1:10">
      <c r="A60" s="2" t="s">
        <v>139</v>
      </c>
      <c r="B60" s="2" t="s">
        <v>23</v>
      </c>
      <c r="C60" s="2" t="s">
        <v>134</v>
      </c>
      <c r="D60" s="2" t="s">
        <v>135</v>
      </c>
      <c r="E60" s="2" t="s">
        <v>136</v>
      </c>
      <c r="F60" s="2" t="s">
        <v>137</v>
      </c>
      <c r="G60" s="4">
        <v>0</v>
      </c>
      <c r="H60" s="4">
        <v>0</v>
      </c>
      <c r="I60" s="4">
        <v>0</v>
      </c>
      <c r="J60" s="4">
        <v>0</v>
      </c>
    </row>
    <row r="61" spans="1:10">
      <c r="A61" s="2" t="s">
        <v>140</v>
      </c>
      <c r="B61" s="2" t="s">
        <v>23</v>
      </c>
      <c r="C61" s="2" t="s">
        <v>134</v>
      </c>
      <c r="D61" s="2" t="s">
        <v>141</v>
      </c>
      <c r="E61" s="2" t="s">
        <v>142</v>
      </c>
      <c r="F61" s="2" t="s">
        <v>143</v>
      </c>
      <c r="G61" s="4">
        <v>289.1167171</v>
      </c>
      <c r="H61" s="4">
        <v>0</v>
      </c>
      <c r="I61" s="4">
        <v>0</v>
      </c>
      <c r="J61" s="4">
        <v>0</v>
      </c>
    </row>
    <row r="62" spans="1:10">
      <c r="A62" s="2" t="s">
        <v>144</v>
      </c>
      <c r="B62" s="2" t="s">
        <v>23</v>
      </c>
      <c r="C62" s="2" t="s">
        <v>134</v>
      </c>
      <c r="D62" s="2" t="s">
        <v>141</v>
      </c>
      <c r="E62" s="2" t="s">
        <v>142</v>
      </c>
      <c r="F62" s="2" t="s">
        <v>143</v>
      </c>
      <c r="G62" s="4">
        <v>0</v>
      </c>
      <c r="H62" s="4">
        <v>0</v>
      </c>
      <c r="I62" s="4">
        <v>0</v>
      </c>
      <c r="J62" s="4">
        <v>0</v>
      </c>
    </row>
    <row r="63" spans="1:10">
      <c r="A63" s="2" t="s">
        <v>145</v>
      </c>
      <c r="B63" s="2" t="s">
        <v>23</v>
      </c>
      <c r="C63" s="2" t="s">
        <v>134</v>
      </c>
      <c r="D63" s="2" t="s">
        <v>141</v>
      </c>
      <c r="E63" s="2" t="s">
        <v>142</v>
      </c>
      <c r="F63" s="2" t="s">
        <v>143</v>
      </c>
      <c r="G63" s="4">
        <v>4231.525576077</v>
      </c>
      <c r="H63" s="4">
        <v>0</v>
      </c>
      <c r="I63" s="4">
        <v>0</v>
      </c>
      <c r="J63" s="4">
        <v>0</v>
      </c>
    </row>
    <row r="64" spans="1:10">
      <c r="A64" s="2" t="s">
        <v>146</v>
      </c>
      <c r="B64" s="2" t="s">
        <v>23</v>
      </c>
      <c r="C64" s="2" t="s">
        <v>134</v>
      </c>
      <c r="D64" s="2" t="s">
        <v>135</v>
      </c>
      <c r="E64" s="2" t="s">
        <v>147</v>
      </c>
      <c r="F64" s="2" t="s">
        <v>148</v>
      </c>
      <c r="G64" s="4">
        <v>0</v>
      </c>
      <c r="H64" s="4">
        <v>0</v>
      </c>
      <c r="I64" s="4">
        <v>2.756101081</v>
      </c>
      <c r="J64" s="4">
        <v>0</v>
      </c>
    </row>
    <row r="65" spans="1:10">
      <c r="A65" s="2" t="s">
        <v>149</v>
      </c>
      <c r="B65" s="2" t="s">
        <v>23</v>
      </c>
      <c r="C65" s="2" t="s">
        <v>134</v>
      </c>
      <c r="D65" s="2" t="s">
        <v>135</v>
      </c>
      <c r="E65" s="2" t="s">
        <v>147</v>
      </c>
      <c r="F65" s="2" t="s">
        <v>148</v>
      </c>
      <c r="G65" s="4">
        <v>0</v>
      </c>
      <c r="H65" s="4">
        <v>0</v>
      </c>
      <c r="I65" s="4">
        <v>0</v>
      </c>
      <c r="J65" s="4">
        <v>0</v>
      </c>
    </row>
    <row r="66" spans="1:10">
      <c r="A66" s="2" t="s">
        <v>150</v>
      </c>
      <c r="B66" s="2" t="s">
        <v>23</v>
      </c>
      <c r="C66" s="2" t="s">
        <v>134</v>
      </c>
      <c r="D66" s="2" t="s">
        <v>151</v>
      </c>
      <c r="E66" s="2" t="s">
        <v>152</v>
      </c>
      <c r="F66" s="2" t="s">
        <v>153</v>
      </c>
      <c r="G66" s="4">
        <v>0</v>
      </c>
      <c r="H66" s="4">
        <v>24.9225628</v>
      </c>
      <c r="I66" s="4">
        <v>0</v>
      </c>
      <c r="J66" s="4">
        <v>0</v>
      </c>
    </row>
    <row r="67" spans="1:10">
      <c r="A67" s="2" t="s">
        <v>154</v>
      </c>
      <c r="B67" s="2" t="s">
        <v>23</v>
      </c>
      <c r="C67" s="2" t="s">
        <v>134</v>
      </c>
      <c r="D67" s="2" t="s">
        <v>151</v>
      </c>
      <c r="E67" s="2" t="s">
        <v>152</v>
      </c>
      <c r="F67" s="2" t="s">
        <v>153</v>
      </c>
      <c r="G67" s="4">
        <v>0</v>
      </c>
      <c r="H67" s="4">
        <v>40.2309134</v>
      </c>
      <c r="I67" s="4">
        <v>0</v>
      </c>
      <c r="J67" s="4">
        <v>1.980423402</v>
      </c>
    </row>
    <row r="68" spans="1:10">
      <c r="A68" s="2" t="s">
        <v>155</v>
      </c>
      <c r="B68" s="2" t="s">
        <v>23</v>
      </c>
      <c r="C68" s="2" t="s">
        <v>134</v>
      </c>
      <c r="D68" s="2" t="s">
        <v>151</v>
      </c>
      <c r="E68" s="2" t="s">
        <v>156</v>
      </c>
      <c r="F68" s="2" t="s">
        <v>157</v>
      </c>
      <c r="G68" s="4">
        <v>0</v>
      </c>
      <c r="H68" s="4">
        <v>0</v>
      </c>
      <c r="I68" s="4">
        <v>0</v>
      </c>
      <c r="J68" s="4">
        <v>0</v>
      </c>
    </row>
    <row r="69" spans="1:10">
      <c r="A69" s="2" t="s">
        <v>158</v>
      </c>
      <c r="B69" s="2" t="s">
        <v>23</v>
      </c>
      <c r="C69" s="2" t="s">
        <v>134</v>
      </c>
      <c r="D69" s="2" t="s">
        <v>135</v>
      </c>
      <c r="E69" s="2" t="s">
        <v>159</v>
      </c>
      <c r="F69" s="2" t="s">
        <v>160</v>
      </c>
      <c r="G69" s="4">
        <v>98.35979672100002</v>
      </c>
      <c r="H69" s="4">
        <v>0</v>
      </c>
      <c r="I69" s="4">
        <v>0</v>
      </c>
      <c r="J69" s="4">
        <v>0</v>
      </c>
    </row>
    <row r="70" spans="1:10">
      <c r="A70" s="2" t="s">
        <v>161</v>
      </c>
      <c r="B70" s="2" t="s">
        <v>23</v>
      </c>
      <c r="C70" s="2" t="s">
        <v>134</v>
      </c>
      <c r="D70" s="2" t="s">
        <v>135</v>
      </c>
      <c r="E70" s="2" t="s">
        <v>159</v>
      </c>
      <c r="F70" s="2" t="s">
        <v>160</v>
      </c>
      <c r="G70" s="4">
        <v>0</v>
      </c>
      <c r="H70" s="4">
        <v>0</v>
      </c>
      <c r="I70" s="4">
        <v>0</v>
      </c>
      <c r="J70" s="4">
        <v>0</v>
      </c>
    </row>
    <row r="71" spans="1:10">
      <c r="A71" s="2" t="s">
        <v>162</v>
      </c>
      <c r="B71" s="2" t="s">
        <v>23</v>
      </c>
      <c r="C71" s="2" t="s">
        <v>134</v>
      </c>
      <c r="D71" s="2" t="s">
        <v>135</v>
      </c>
      <c r="E71" s="2" t="s">
        <v>159</v>
      </c>
      <c r="F71" s="2" t="s">
        <v>160</v>
      </c>
      <c r="G71" s="4">
        <v>0</v>
      </c>
      <c r="H71" s="4">
        <v>0</v>
      </c>
      <c r="I71" s="4">
        <v>0</v>
      </c>
      <c r="J71" s="4">
        <v>0</v>
      </c>
    </row>
    <row r="72" spans="1:10">
      <c r="A72" s="2" t="s">
        <v>163</v>
      </c>
      <c r="B72" s="2" t="s">
        <v>23</v>
      </c>
      <c r="C72" s="2" t="s">
        <v>134</v>
      </c>
      <c r="D72" s="2" t="s">
        <v>164</v>
      </c>
      <c r="E72" s="2" t="s">
        <v>165</v>
      </c>
      <c r="F72" s="2" t="s">
        <v>166</v>
      </c>
      <c r="G72" s="4">
        <v>0</v>
      </c>
      <c r="H72" s="4">
        <v>0</v>
      </c>
      <c r="I72" s="4">
        <v>0</v>
      </c>
      <c r="J72" s="4">
        <v>0</v>
      </c>
    </row>
    <row r="73" spans="1:10">
      <c r="A73" s="2" t="s">
        <v>167</v>
      </c>
      <c r="B73" s="2" t="s">
        <v>23</v>
      </c>
      <c r="C73" s="2" t="s">
        <v>134</v>
      </c>
      <c r="D73" s="2" t="s">
        <v>164</v>
      </c>
      <c r="E73" s="2" t="s">
        <v>165</v>
      </c>
      <c r="F73" s="2" t="s">
        <v>166</v>
      </c>
      <c r="G73" s="4">
        <v>0</v>
      </c>
      <c r="H73" s="4">
        <v>0</v>
      </c>
      <c r="I73" s="4">
        <v>0</v>
      </c>
      <c r="J73" s="4">
        <v>0</v>
      </c>
    </row>
    <row r="74" spans="1:10">
      <c r="A74" s="2" t="s">
        <v>168</v>
      </c>
      <c r="B74" s="2" t="s">
        <v>23</v>
      </c>
      <c r="C74" s="2" t="s">
        <v>169</v>
      </c>
      <c r="D74" s="2" t="s">
        <v>170</v>
      </c>
      <c r="E74" s="2" t="s">
        <v>171</v>
      </c>
      <c r="F74" s="2" t="s">
        <v>172</v>
      </c>
      <c r="G74" s="4">
        <v>291.012321941</v>
      </c>
      <c r="H74" s="4">
        <v>0</v>
      </c>
      <c r="I74" s="4">
        <v>0</v>
      </c>
      <c r="J74" s="4">
        <v>0</v>
      </c>
    </row>
    <row r="75" spans="1:10">
      <c r="A75" s="2" t="s">
        <v>173</v>
      </c>
      <c r="B75" s="2" t="s">
        <v>23</v>
      </c>
      <c r="C75" s="2" t="s">
        <v>169</v>
      </c>
      <c r="D75" s="2" t="s">
        <v>170</v>
      </c>
      <c r="E75" s="2" t="s">
        <v>171</v>
      </c>
      <c r="F75" s="2" t="s">
        <v>172</v>
      </c>
      <c r="G75" s="4">
        <v>163.803877334</v>
      </c>
      <c r="H75" s="4">
        <v>0</v>
      </c>
      <c r="I75" s="4">
        <v>0</v>
      </c>
      <c r="J75" s="4">
        <v>0</v>
      </c>
    </row>
    <row r="76" spans="1:10">
      <c r="A76" s="2" t="s">
        <v>174</v>
      </c>
      <c r="B76" s="2" t="s">
        <v>23</v>
      </c>
      <c r="C76" s="2" t="s">
        <v>169</v>
      </c>
      <c r="D76" s="2" t="s">
        <v>170</v>
      </c>
      <c r="E76" s="2" t="s">
        <v>171</v>
      </c>
      <c r="F76" s="2" t="s">
        <v>172</v>
      </c>
      <c r="G76" s="4">
        <v>429.30187568</v>
      </c>
      <c r="H76" s="4">
        <v>0</v>
      </c>
      <c r="I76" s="4">
        <v>0</v>
      </c>
      <c r="J76" s="4">
        <v>0</v>
      </c>
    </row>
    <row r="77" spans="1:10">
      <c r="A77" s="2" t="s">
        <v>175</v>
      </c>
      <c r="B77" s="2" t="s">
        <v>23</v>
      </c>
      <c r="C77" s="2" t="s">
        <v>176</v>
      </c>
      <c r="D77" s="2" t="s">
        <v>177</v>
      </c>
      <c r="E77" s="2" t="s">
        <v>178</v>
      </c>
      <c r="F77" s="2" t="s">
        <v>179</v>
      </c>
      <c r="G77" s="4">
        <v>24.536209526</v>
      </c>
      <c r="H77" s="4">
        <v>0</v>
      </c>
      <c r="I77" s="4">
        <v>0</v>
      </c>
      <c r="J77" s="4">
        <v>0</v>
      </c>
    </row>
    <row r="78" spans="1:10">
      <c r="A78" s="2" t="s">
        <v>180</v>
      </c>
      <c r="B78" s="2" t="s">
        <v>23</v>
      </c>
      <c r="C78" s="2" t="s">
        <v>176</v>
      </c>
      <c r="D78" s="2" t="s">
        <v>177</v>
      </c>
      <c r="E78" s="2" t="s">
        <v>178</v>
      </c>
      <c r="F78" s="2" t="s">
        <v>179</v>
      </c>
      <c r="G78" s="4">
        <v>287.873939865</v>
      </c>
      <c r="H78" s="4">
        <v>0</v>
      </c>
      <c r="I78" s="4">
        <v>0</v>
      </c>
      <c r="J78" s="4">
        <v>0</v>
      </c>
    </row>
    <row r="79" spans="1:10">
      <c r="A79" s="2" t="s">
        <v>181</v>
      </c>
      <c r="B79" s="2" t="s">
        <v>23</v>
      </c>
      <c r="C79" s="2" t="s">
        <v>176</v>
      </c>
      <c r="D79" s="2" t="s">
        <v>177</v>
      </c>
      <c r="E79" s="2" t="s">
        <v>178</v>
      </c>
      <c r="F79" s="2" t="s">
        <v>179</v>
      </c>
      <c r="G79" s="4">
        <v>2643.371483112</v>
      </c>
      <c r="H79" s="4">
        <v>0</v>
      </c>
      <c r="I79" s="4">
        <v>0</v>
      </c>
      <c r="J79" s="4">
        <v>0</v>
      </c>
    </row>
    <row r="80" spans="1:10">
      <c r="A80" s="2" t="s">
        <v>182</v>
      </c>
      <c r="B80" s="2" t="s">
        <v>23</v>
      </c>
      <c r="C80" s="2" t="s">
        <v>183</v>
      </c>
      <c r="D80" s="2" t="s">
        <v>184</v>
      </c>
      <c r="E80" s="2" t="s">
        <v>185</v>
      </c>
      <c r="F80" s="2" t="s">
        <v>186</v>
      </c>
      <c r="G80" s="4">
        <v>0</v>
      </c>
      <c r="H80" s="4">
        <v>4.471772337</v>
      </c>
      <c r="I80" s="4">
        <v>0</v>
      </c>
      <c r="J80" s="4">
        <v>0</v>
      </c>
    </row>
    <row r="81" spans="1:10">
      <c r="A81" s="2" t="s">
        <v>187</v>
      </c>
      <c r="B81" s="2" t="s">
        <v>23</v>
      </c>
      <c r="C81" s="2" t="s">
        <v>183</v>
      </c>
      <c r="D81" s="2" t="s">
        <v>184</v>
      </c>
      <c r="E81" s="2" t="s">
        <v>185</v>
      </c>
      <c r="F81" s="2" t="s">
        <v>186</v>
      </c>
      <c r="G81" s="4">
        <v>0</v>
      </c>
      <c r="H81" s="4">
        <v>0</v>
      </c>
      <c r="I81" s="4">
        <v>0</v>
      </c>
      <c r="J81" s="4">
        <v>2.386423846</v>
      </c>
    </row>
    <row r="82" spans="1:10">
      <c r="A82" s="2" t="s">
        <v>188</v>
      </c>
      <c r="B82" s="2" t="s">
        <v>23</v>
      </c>
      <c r="C82" s="2" t="s">
        <v>183</v>
      </c>
      <c r="D82" s="2" t="s">
        <v>184</v>
      </c>
      <c r="E82" s="2" t="s">
        <v>185</v>
      </c>
      <c r="F82" s="2" t="s">
        <v>186</v>
      </c>
      <c r="G82" s="4">
        <v>0</v>
      </c>
      <c r="H82" s="4">
        <v>0</v>
      </c>
      <c r="I82" s="4">
        <v>0</v>
      </c>
      <c r="J82" s="4">
        <v>0</v>
      </c>
    </row>
    <row r="83" spans="1:10">
      <c r="A83" s="2" t="s">
        <v>189</v>
      </c>
      <c r="B83" s="2" t="s">
        <v>23</v>
      </c>
      <c r="C83" s="2" t="s">
        <v>183</v>
      </c>
      <c r="D83" s="2" t="s">
        <v>184</v>
      </c>
      <c r="E83" s="2" t="s">
        <v>190</v>
      </c>
      <c r="F83" s="2" t="s">
        <v>191</v>
      </c>
      <c r="G83" s="4">
        <v>0</v>
      </c>
      <c r="H83" s="4">
        <v>0</v>
      </c>
      <c r="I83" s="4">
        <v>0</v>
      </c>
      <c r="J83" s="4">
        <v>0</v>
      </c>
    </row>
    <row r="84" spans="1:10">
      <c r="A84" s="2" t="s">
        <v>192</v>
      </c>
      <c r="B84" s="2" t="s">
        <v>23</v>
      </c>
      <c r="C84" s="2" t="s">
        <v>193</v>
      </c>
      <c r="D84" s="2" t="s">
        <v>194</v>
      </c>
      <c r="E84" s="2" t="s">
        <v>195</v>
      </c>
      <c r="F84" s="2" t="s">
        <v>196</v>
      </c>
      <c r="G84" s="4">
        <v>0</v>
      </c>
      <c r="H84" s="4">
        <v>0</v>
      </c>
      <c r="I84" s="4">
        <v>0</v>
      </c>
      <c r="J84" s="4">
        <v>194.46415536</v>
      </c>
    </row>
    <row r="85" spans="1:10">
      <c r="A85" s="2" t="s">
        <v>197</v>
      </c>
      <c r="B85" s="2" t="s">
        <v>23</v>
      </c>
      <c r="C85" s="2" t="s">
        <v>193</v>
      </c>
      <c r="D85" s="2" t="s">
        <v>194</v>
      </c>
      <c r="E85" s="2" t="s">
        <v>195</v>
      </c>
      <c r="F85" s="2" t="s">
        <v>196</v>
      </c>
      <c r="G85" s="4">
        <v>1.162927135</v>
      </c>
      <c r="H85" s="4">
        <v>0</v>
      </c>
      <c r="I85" s="4">
        <v>4.673445496</v>
      </c>
      <c r="J85" s="4">
        <v>18.052541787</v>
      </c>
    </row>
    <row r="86" spans="1:10">
      <c r="A86" s="2" t="s">
        <v>198</v>
      </c>
      <c r="B86" s="2" t="s">
        <v>23</v>
      </c>
      <c r="C86" s="2" t="s">
        <v>193</v>
      </c>
      <c r="D86" s="2" t="s">
        <v>194</v>
      </c>
      <c r="E86" s="2" t="s">
        <v>195</v>
      </c>
      <c r="F86" s="2" t="s">
        <v>196</v>
      </c>
      <c r="G86" s="4">
        <v>239.657571006</v>
      </c>
      <c r="H86" s="4">
        <v>0</v>
      </c>
      <c r="I86" s="4">
        <v>5.660700145</v>
      </c>
      <c r="J86" s="4">
        <v>532.1397469</v>
      </c>
    </row>
    <row r="87" spans="1:10">
      <c r="A87" s="2" t="s">
        <v>199</v>
      </c>
      <c r="B87" s="2" t="s">
        <v>23</v>
      </c>
      <c r="C87" s="2" t="s">
        <v>200</v>
      </c>
      <c r="D87" s="2" t="s">
        <v>201</v>
      </c>
      <c r="E87" s="2" t="s">
        <v>202</v>
      </c>
      <c r="F87" s="2" t="s">
        <v>203</v>
      </c>
      <c r="G87" s="4">
        <v>0.267702116</v>
      </c>
      <c r="H87" s="4">
        <v>0</v>
      </c>
      <c r="I87" s="4">
        <v>0</v>
      </c>
      <c r="J87" s="4">
        <v>0</v>
      </c>
    </row>
    <row r="88" spans="1:10">
      <c r="A88" s="2" t="s">
        <v>204</v>
      </c>
      <c r="B88" s="2" t="s">
        <v>23</v>
      </c>
      <c r="C88" s="2" t="s">
        <v>200</v>
      </c>
      <c r="D88" s="2" t="s">
        <v>201</v>
      </c>
      <c r="E88" s="2" t="s">
        <v>205</v>
      </c>
      <c r="F88" s="2" t="s">
        <v>206</v>
      </c>
      <c r="G88" s="4">
        <v>0</v>
      </c>
      <c r="H88" s="4">
        <v>0</v>
      </c>
      <c r="I88" s="4">
        <v>1.532440302</v>
      </c>
      <c r="J88" s="4">
        <v>0</v>
      </c>
    </row>
    <row r="89" spans="1:10">
      <c r="A89" s="2" t="s">
        <v>207</v>
      </c>
      <c r="B89" s="2" t="s">
        <v>23</v>
      </c>
      <c r="C89" s="2" t="s">
        <v>200</v>
      </c>
      <c r="D89" s="2" t="s">
        <v>201</v>
      </c>
      <c r="E89" s="2" t="s">
        <v>205</v>
      </c>
      <c r="F89" s="2" t="s">
        <v>206</v>
      </c>
      <c r="G89" s="4">
        <v>0</v>
      </c>
      <c r="H89" s="4">
        <v>0</v>
      </c>
      <c r="I89" s="4">
        <v>15.603460444</v>
      </c>
      <c r="J89" s="4">
        <v>0</v>
      </c>
    </row>
    <row r="90" spans="1:10">
      <c r="A90" s="2" t="s">
        <v>208</v>
      </c>
      <c r="B90" s="2" t="s">
        <v>23</v>
      </c>
      <c r="C90" s="2" t="s">
        <v>209</v>
      </c>
      <c r="D90" s="2" t="s">
        <v>210</v>
      </c>
      <c r="E90" s="2" t="s">
        <v>211</v>
      </c>
      <c r="F90" s="2" t="s">
        <v>212</v>
      </c>
      <c r="G90" s="4">
        <v>0</v>
      </c>
      <c r="H90" s="4">
        <v>9.478248646000001</v>
      </c>
      <c r="I90" s="4">
        <v>0</v>
      </c>
      <c r="J90" s="4">
        <v>0</v>
      </c>
    </row>
    <row r="91" spans="1:10">
      <c r="A91" s="2" t="s">
        <v>213</v>
      </c>
      <c r="B91" s="2" t="s">
        <v>23</v>
      </c>
      <c r="C91" s="2" t="s">
        <v>214</v>
      </c>
      <c r="D91" s="2" t="s">
        <v>215</v>
      </c>
      <c r="E91" s="2" t="s">
        <v>216</v>
      </c>
      <c r="F91" s="2" t="s">
        <v>217</v>
      </c>
      <c r="G91" s="4">
        <v>29.0580279</v>
      </c>
      <c r="H91" s="4">
        <v>0</v>
      </c>
      <c r="I91" s="4">
        <v>0</v>
      </c>
      <c r="J91" s="4">
        <v>0</v>
      </c>
    </row>
    <row r="92" spans="1:10">
      <c r="A92" s="2" t="s">
        <v>218</v>
      </c>
      <c r="B92" s="2" t="s">
        <v>23</v>
      </c>
      <c r="C92" s="2" t="s">
        <v>214</v>
      </c>
      <c r="D92" s="2" t="s">
        <v>215</v>
      </c>
      <c r="E92" s="2" t="s">
        <v>216</v>
      </c>
      <c r="F92" s="2" t="s">
        <v>217</v>
      </c>
      <c r="G92" s="4">
        <v>0</v>
      </c>
      <c r="H92" s="4">
        <v>0</v>
      </c>
      <c r="I92" s="4">
        <v>0</v>
      </c>
      <c r="J92" s="4">
        <v>10.70757265</v>
      </c>
    </row>
    <row r="93" spans="1:10">
      <c r="A93" s="2" t="s">
        <v>219</v>
      </c>
      <c r="B93" s="2" t="s">
        <v>23</v>
      </c>
      <c r="C93" s="2" t="s">
        <v>214</v>
      </c>
      <c r="D93" s="2" t="s">
        <v>215</v>
      </c>
      <c r="E93" s="2" t="s">
        <v>216</v>
      </c>
      <c r="F93" s="2" t="s">
        <v>217</v>
      </c>
      <c r="G93" s="4">
        <v>100.517796487</v>
      </c>
      <c r="H93" s="4">
        <v>0</v>
      </c>
      <c r="I93" s="4">
        <v>0</v>
      </c>
      <c r="J93" s="4">
        <v>9.316807923000001</v>
      </c>
    </row>
    <row r="94" spans="1:10">
      <c r="A94" s="2" t="s">
        <v>220</v>
      </c>
      <c r="B94" s="2" t="s">
        <v>23</v>
      </c>
      <c r="C94" s="2" t="s">
        <v>214</v>
      </c>
      <c r="D94" s="2" t="s">
        <v>221</v>
      </c>
      <c r="E94" s="2" t="s">
        <v>222</v>
      </c>
      <c r="F94" s="2" t="s">
        <v>223</v>
      </c>
      <c r="G94" s="4">
        <v>15.298893839</v>
      </c>
      <c r="H94" s="4">
        <v>0</v>
      </c>
      <c r="I94" s="4">
        <v>0</v>
      </c>
      <c r="J94" s="4">
        <v>15.461554076</v>
      </c>
    </row>
    <row r="95" spans="1:10">
      <c r="A95" s="2" t="s">
        <v>224</v>
      </c>
      <c r="B95" s="2" t="s">
        <v>23</v>
      </c>
      <c r="C95" s="2" t="s">
        <v>214</v>
      </c>
      <c r="D95" s="2" t="s">
        <v>221</v>
      </c>
      <c r="E95" s="2" t="s">
        <v>222</v>
      </c>
      <c r="F95" s="2" t="s">
        <v>223</v>
      </c>
      <c r="G95" s="4">
        <v>0</v>
      </c>
      <c r="H95" s="4">
        <v>0</v>
      </c>
      <c r="I95" s="4">
        <v>0</v>
      </c>
      <c r="J95" s="4">
        <v>7.503498547</v>
      </c>
    </row>
    <row r="96" spans="1:10">
      <c r="A96" s="2" t="s">
        <v>225</v>
      </c>
      <c r="B96" s="2" t="s">
        <v>23</v>
      </c>
      <c r="C96" s="2" t="s">
        <v>214</v>
      </c>
      <c r="D96" s="2" t="s">
        <v>221</v>
      </c>
      <c r="E96" s="2" t="s">
        <v>222</v>
      </c>
      <c r="F96" s="2" t="s">
        <v>223</v>
      </c>
      <c r="G96" s="4">
        <v>0</v>
      </c>
      <c r="H96" s="4">
        <v>0</v>
      </c>
      <c r="I96" s="4">
        <v>0</v>
      </c>
      <c r="J96" s="4">
        <v>0</v>
      </c>
    </row>
    <row r="97" spans="1:10">
      <c r="A97" s="2" t="s">
        <v>226</v>
      </c>
      <c r="B97" s="2" t="s">
        <v>23</v>
      </c>
      <c r="C97" s="2" t="s">
        <v>214</v>
      </c>
      <c r="D97" s="2" t="s">
        <v>227</v>
      </c>
      <c r="E97" s="2" t="s">
        <v>228</v>
      </c>
      <c r="F97" s="2" t="s">
        <v>229</v>
      </c>
      <c r="G97" s="4">
        <v>0</v>
      </c>
      <c r="H97" s="4">
        <v>0</v>
      </c>
      <c r="I97" s="4">
        <v>0</v>
      </c>
      <c r="J97" s="4">
        <v>0</v>
      </c>
    </row>
    <row r="98" spans="1:10">
      <c r="A98" s="2" t="s">
        <v>230</v>
      </c>
      <c r="B98" s="2" t="s">
        <v>23</v>
      </c>
      <c r="C98" s="2" t="s">
        <v>231</v>
      </c>
      <c r="D98" s="2" t="s">
        <v>232</v>
      </c>
      <c r="E98" s="2" t="s">
        <v>233</v>
      </c>
      <c r="F98" s="2" t="s">
        <v>234</v>
      </c>
      <c r="G98" s="4">
        <v>6.146632262</v>
      </c>
      <c r="H98" s="4">
        <v>0</v>
      </c>
      <c r="I98" s="4">
        <v>1.162309146</v>
      </c>
      <c r="J98" s="4">
        <v>2.05640055529669</v>
      </c>
    </row>
    <row r="99" spans="1:10">
      <c r="A99" s="2" t="s">
        <v>235</v>
      </c>
      <c r="B99" s="2" t="s">
        <v>23</v>
      </c>
      <c r="C99" s="2" t="s">
        <v>231</v>
      </c>
      <c r="D99" s="2" t="s">
        <v>232</v>
      </c>
      <c r="E99" s="2" t="s">
        <v>233</v>
      </c>
      <c r="F99" s="2" t="s">
        <v>234</v>
      </c>
      <c r="G99" s="4">
        <v>43.33598407700001</v>
      </c>
      <c r="H99" s="4">
        <v>0</v>
      </c>
      <c r="I99" s="4">
        <v>2.494855365</v>
      </c>
      <c r="J99" s="4">
        <v>0</v>
      </c>
    </row>
    <row r="100" spans="1:10">
      <c r="A100" s="2" t="s">
        <v>236</v>
      </c>
      <c r="B100" s="2" t="s">
        <v>23</v>
      </c>
      <c r="C100" s="2" t="s">
        <v>231</v>
      </c>
      <c r="D100" s="2" t="s">
        <v>232</v>
      </c>
      <c r="E100" s="2" t="s">
        <v>233</v>
      </c>
      <c r="F100" s="2" t="s">
        <v>234</v>
      </c>
      <c r="G100" s="4">
        <v>0</v>
      </c>
      <c r="H100" s="4">
        <v>0</v>
      </c>
      <c r="I100" s="4">
        <v>0</v>
      </c>
      <c r="J100" s="4">
        <v>0</v>
      </c>
    </row>
    <row r="101" spans="1:10">
      <c r="A101" s="2" t="s">
        <v>237</v>
      </c>
      <c r="B101" s="2" t="s">
        <v>23</v>
      </c>
      <c r="C101" s="2" t="s">
        <v>238</v>
      </c>
      <c r="D101" s="2" t="s">
        <v>239</v>
      </c>
      <c r="E101" s="2" t="s">
        <v>240</v>
      </c>
      <c r="F101" s="2" t="s">
        <v>241</v>
      </c>
      <c r="G101" s="4">
        <v>0</v>
      </c>
      <c r="H101" s="4">
        <v>0</v>
      </c>
      <c r="I101" s="4">
        <v>1.453424224</v>
      </c>
      <c r="J101" s="4">
        <v>0</v>
      </c>
    </row>
    <row r="102" spans="1:10">
      <c r="A102" s="2" t="s">
        <v>242</v>
      </c>
      <c r="B102" s="2" t="s">
        <v>23</v>
      </c>
      <c r="C102" s="2" t="s">
        <v>238</v>
      </c>
      <c r="D102" s="2" t="s">
        <v>239</v>
      </c>
      <c r="E102" s="2" t="s">
        <v>240</v>
      </c>
      <c r="F102" s="2" t="s">
        <v>241</v>
      </c>
      <c r="G102" s="4">
        <v>0</v>
      </c>
      <c r="H102" s="4">
        <v>0</v>
      </c>
      <c r="I102" s="4">
        <v>0</v>
      </c>
      <c r="J102" s="4">
        <v>0</v>
      </c>
    </row>
    <row r="103" spans="1:10">
      <c r="A103" s="2" t="s">
        <v>243</v>
      </c>
      <c r="B103" s="2" t="s">
        <v>23</v>
      </c>
      <c r="C103" s="2" t="s">
        <v>238</v>
      </c>
      <c r="D103" s="2" t="s">
        <v>239</v>
      </c>
      <c r="E103" s="2" t="s">
        <v>240</v>
      </c>
      <c r="F103" s="2" t="s">
        <v>241</v>
      </c>
      <c r="G103" s="4">
        <v>0</v>
      </c>
      <c r="H103" s="4">
        <v>0</v>
      </c>
      <c r="I103" s="4">
        <v>0</v>
      </c>
      <c r="J103" s="4">
        <v>0</v>
      </c>
    </row>
    <row r="104" spans="1:10">
      <c r="A104" s="2" t="s">
        <v>244</v>
      </c>
      <c r="B104" s="2" t="s">
        <v>23</v>
      </c>
      <c r="C104" s="2" t="s">
        <v>245</v>
      </c>
      <c r="D104" s="2" t="s">
        <v>246</v>
      </c>
      <c r="E104" s="2" t="s">
        <v>247</v>
      </c>
      <c r="F104" s="2" t="s">
        <v>248</v>
      </c>
      <c r="G104" s="4">
        <v>43.944247178</v>
      </c>
      <c r="H104" s="4">
        <v>0</v>
      </c>
      <c r="I104" s="4">
        <v>2.31390212827714</v>
      </c>
      <c r="J104" s="4">
        <v>5.12948876740641</v>
      </c>
    </row>
    <row r="105" spans="1:10">
      <c r="A105" s="2" t="s">
        <v>249</v>
      </c>
      <c r="B105" s="2" t="s">
        <v>23</v>
      </c>
      <c r="C105" s="2" t="s">
        <v>245</v>
      </c>
      <c r="D105" s="2" t="s">
        <v>246</v>
      </c>
      <c r="E105" s="2" t="s">
        <v>247</v>
      </c>
      <c r="F105" s="2" t="s">
        <v>248</v>
      </c>
      <c r="G105" s="4">
        <v>7.607990269</v>
      </c>
      <c r="H105" s="4">
        <v>0</v>
      </c>
      <c r="I105" s="4">
        <v>32.941026822</v>
      </c>
      <c r="J105" s="4">
        <v>13.4666369188147</v>
      </c>
    </row>
    <row r="106" spans="1:10">
      <c r="A106" s="2" t="s">
        <v>250</v>
      </c>
      <c r="B106" s="2" t="s">
        <v>23</v>
      </c>
      <c r="C106" s="2" t="s">
        <v>245</v>
      </c>
      <c r="D106" s="2" t="s">
        <v>246</v>
      </c>
      <c r="E106" s="2" t="s">
        <v>247</v>
      </c>
      <c r="F106" s="2" t="s">
        <v>248</v>
      </c>
      <c r="G106" s="4">
        <v>0</v>
      </c>
      <c r="H106" s="4">
        <v>0</v>
      </c>
      <c r="I106" s="4">
        <v>11.127279273</v>
      </c>
      <c r="J106" s="4">
        <v>65.215435785</v>
      </c>
    </row>
    <row r="107" spans="1:10">
      <c r="A107" s="2" t="s">
        <v>251</v>
      </c>
      <c r="B107" s="2" t="s">
        <v>23</v>
      </c>
      <c r="C107" s="2" t="s">
        <v>245</v>
      </c>
      <c r="D107" s="2" t="s">
        <v>252</v>
      </c>
      <c r="E107" s="2" t="s">
        <v>253</v>
      </c>
      <c r="F107" s="2" t="s">
        <v>254</v>
      </c>
      <c r="G107" s="4">
        <v>0</v>
      </c>
      <c r="H107" s="4">
        <v>33.784144671</v>
      </c>
      <c r="I107" s="4">
        <v>12.473568277</v>
      </c>
      <c r="J107" s="4">
        <v>0</v>
      </c>
    </row>
    <row r="108" spans="1:10">
      <c r="A108" s="2" t="s">
        <v>255</v>
      </c>
      <c r="B108" s="2" t="s">
        <v>23</v>
      </c>
      <c r="C108" s="2" t="s">
        <v>245</v>
      </c>
      <c r="D108" s="2" t="s">
        <v>252</v>
      </c>
      <c r="E108" s="2" t="s">
        <v>253</v>
      </c>
      <c r="F108" s="2" t="s">
        <v>254</v>
      </c>
      <c r="G108" s="4">
        <v>0</v>
      </c>
      <c r="H108" s="4">
        <v>0</v>
      </c>
      <c r="I108" s="4">
        <v>0</v>
      </c>
      <c r="J108" s="4">
        <v>0</v>
      </c>
    </row>
    <row r="109" spans="1:10">
      <c r="A109" s="2" t="s">
        <v>256</v>
      </c>
      <c r="B109" s="2" t="s">
        <v>23</v>
      </c>
      <c r="C109" s="2" t="s">
        <v>245</v>
      </c>
      <c r="D109" s="2" t="s">
        <v>252</v>
      </c>
      <c r="E109" s="2" t="s">
        <v>253</v>
      </c>
      <c r="F109" s="2" t="s">
        <v>254</v>
      </c>
      <c r="G109" s="4">
        <v>2.35688469</v>
      </c>
      <c r="H109" s="4">
        <v>0</v>
      </c>
      <c r="I109" s="4">
        <v>6.326675741000001</v>
      </c>
      <c r="J109" s="4">
        <v>0</v>
      </c>
    </row>
    <row r="110" spans="1:10">
      <c r="A110" s="2" t="s">
        <v>257</v>
      </c>
      <c r="B110" s="2" t="s">
        <v>258</v>
      </c>
      <c r="C110" s="2" t="s">
        <v>259</v>
      </c>
      <c r="D110" s="2" t="s">
        <v>260</v>
      </c>
      <c r="E110" s="2" t="s">
        <v>261</v>
      </c>
      <c r="F110" s="2" t="s">
        <v>262</v>
      </c>
      <c r="G110" s="4">
        <v>206.918008852</v>
      </c>
      <c r="H110" s="4">
        <v>0</v>
      </c>
      <c r="I110" s="4">
        <v>0</v>
      </c>
      <c r="J110" s="4">
        <v>0</v>
      </c>
    </row>
    <row r="111" spans="1:10">
      <c r="A111" s="2" t="s">
        <v>263</v>
      </c>
      <c r="B111" s="2" t="s">
        <v>258</v>
      </c>
      <c r="C111" s="2" t="s">
        <v>264</v>
      </c>
      <c r="D111" s="2" t="s">
        <v>265</v>
      </c>
      <c r="E111" s="2" t="s">
        <v>266</v>
      </c>
      <c r="F111" s="2" t="s">
        <v>267</v>
      </c>
      <c r="G111" s="4">
        <v>0</v>
      </c>
      <c r="H111" s="4">
        <v>0</v>
      </c>
      <c r="I111" s="4">
        <v>0</v>
      </c>
      <c r="J111" s="4">
        <v>0</v>
      </c>
    </row>
    <row r="112" spans="1:10">
      <c r="A112" s="2" t="s">
        <v>268</v>
      </c>
      <c r="B112" s="2" t="s">
        <v>258</v>
      </c>
      <c r="C112" s="2" t="s">
        <v>264</v>
      </c>
      <c r="D112" s="2" t="s">
        <v>265</v>
      </c>
      <c r="E112" s="2" t="s">
        <v>266</v>
      </c>
      <c r="F112" s="2" t="s">
        <v>267</v>
      </c>
      <c r="G112" s="4">
        <v>8.640509702999999</v>
      </c>
      <c r="H112" s="4">
        <v>0</v>
      </c>
      <c r="I112" s="4">
        <v>0</v>
      </c>
      <c r="J112" s="4">
        <v>0</v>
      </c>
    </row>
    <row r="113" spans="1:10">
      <c r="A113" s="2" t="s">
        <v>269</v>
      </c>
      <c r="B113" s="2" t="s">
        <v>258</v>
      </c>
      <c r="C113" s="2" t="s">
        <v>264</v>
      </c>
      <c r="D113" s="2" t="s">
        <v>265</v>
      </c>
      <c r="E113" s="2" t="s">
        <v>266</v>
      </c>
      <c r="F113" s="2" t="s">
        <v>267</v>
      </c>
      <c r="G113" s="4">
        <v>0</v>
      </c>
      <c r="H113" s="4">
        <v>0</v>
      </c>
      <c r="I113" s="4">
        <v>0</v>
      </c>
      <c r="J113" s="4">
        <v>0</v>
      </c>
    </row>
  </sheetData>
  <autoFilter ref="A1:J1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5" width="16.7109375" customWidth="1"/>
    <col min="6" max="7" width="22.7109375" customWidth="1"/>
  </cols>
  <sheetData>
    <row r="1" spans="1:7">
      <c r="A1" s="1" t="s">
        <v>12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270</v>
      </c>
      <c r="G1" s="1" t="s">
        <v>271</v>
      </c>
    </row>
    <row r="2" spans="1:7">
      <c r="A2" s="2" t="s">
        <v>22</v>
      </c>
      <c r="B2" s="5">
        <f>--(class_abundance!G2&gt;0)</f>
        <v>1</v>
      </c>
      <c r="C2" s="5">
        <f>--(class_abundance!H2&gt;0)</f>
        <v>1</v>
      </c>
      <c r="D2" s="5">
        <f>--(class_abundance!I2&gt;0)</f>
        <v>0</v>
      </c>
      <c r="E2" s="5">
        <f>--(class_abundance!J2&gt;0)</f>
        <v>0</v>
      </c>
      <c r="F2" s="5">
        <f>SUM(B2:E2)</f>
        <v>2</v>
      </c>
      <c r="G2" s="5">
        <f>--(F2&gt;0)</f>
        <v>1</v>
      </c>
    </row>
    <row r="3" spans="1:7">
      <c r="A3" s="2" t="s">
        <v>28</v>
      </c>
      <c r="B3" s="5">
        <f>--(class_abundance!G3&gt;0)</f>
        <v>1</v>
      </c>
      <c r="C3" s="5">
        <f>--(class_abundance!H3&gt;0)</f>
        <v>0</v>
      </c>
      <c r="D3" s="5">
        <f>--(class_abundance!I3&gt;0)</f>
        <v>0</v>
      </c>
      <c r="E3" s="5">
        <f>--(class_abundance!J3&gt;0)</f>
        <v>0</v>
      </c>
      <c r="F3" s="5">
        <f>SUM(B3:E3)</f>
        <v>1</v>
      </c>
      <c r="G3" s="5">
        <f>--(F3&gt;0)</f>
        <v>1</v>
      </c>
    </row>
    <row r="4" spans="1:7">
      <c r="A4" s="2" t="s">
        <v>29</v>
      </c>
      <c r="B4" s="5">
        <f>--(class_abundance!G4&gt;0)</f>
        <v>1</v>
      </c>
      <c r="C4" s="5">
        <f>--(class_abundance!H4&gt;0)</f>
        <v>0</v>
      </c>
      <c r="D4" s="5">
        <f>--(class_abundance!I4&gt;0)</f>
        <v>0</v>
      </c>
      <c r="E4" s="5">
        <f>--(class_abundance!J4&gt;0)</f>
        <v>0</v>
      </c>
      <c r="F4" s="5">
        <f>SUM(B4:E4)</f>
        <v>1</v>
      </c>
      <c r="G4" s="5">
        <f>--(F4&gt;0)</f>
        <v>1</v>
      </c>
    </row>
    <row r="5" spans="1:7">
      <c r="A5" s="2" t="s">
        <v>30</v>
      </c>
      <c r="B5" s="5">
        <f>--(class_abundance!G5&gt;0)</f>
        <v>1</v>
      </c>
      <c r="C5" s="5">
        <f>--(class_abundance!H5&gt;0)</f>
        <v>0</v>
      </c>
      <c r="D5" s="5">
        <f>--(class_abundance!I5&gt;0)</f>
        <v>0</v>
      </c>
      <c r="E5" s="5">
        <f>--(class_abundance!J5&gt;0)</f>
        <v>0</v>
      </c>
      <c r="F5" s="5">
        <f>SUM(B5:E5)</f>
        <v>1</v>
      </c>
      <c r="G5" s="5">
        <f>--(F5&gt;0)</f>
        <v>1</v>
      </c>
    </row>
    <row r="6" spans="1:7">
      <c r="A6" s="2" t="s">
        <v>31</v>
      </c>
      <c r="B6" s="5">
        <f>--(class_abundance!G6&gt;0)</f>
        <v>1</v>
      </c>
      <c r="C6" s="5">
        <f>--(class_abundance!H6&gt;0)</f>
        <v>0</v>
      </c>
      <c r="D6" s="5">
        <f>--(class_abundance!I6&gt;0)</f>
        <v>0</v>
      </c>
      <c r="E6" s="5">
        <f>--(class_abundance!J6&gt;0)</f>
        <v>0</v>
      </c>
      <c r="F6" s="5">
        <f>SUM(B6:E6)</f>
        <v>1</v>
      </c>
      <c r="G6" s="5">
        <f>--(F6&gt;0)</f>
        <v>1</v>
      </c>
    </row>
    <row r="7" spans="1:7">
      <c r="A7" s="2" t="s">
        <v>36</v>
      </c>
      <c r="B7" s="5">
        <f>--(class_abundance!G7&gt;0)</f>
        <v>1</v>
      </c>
      <c r="C7" s="5">
        <f>--(class_abundance!H7&gt;0)</f>
        <v>0</v>
      </c>
      <c r="D7" s="5">
        <f>--(class_abundance!I7&gt;0)</f>
        <v>0</v>
      </c>
      <c r="E7" s="5">
        <f>--(class_abundance!J7&gt;0)</f>
        <v>1</v>
      </c>
      <c r="F7" s="5">
        <f>SUM(B7:E7)</f>
        <v>2</v>
      </c>
      <c r="G7" s="5">
        <f>--(F7&gt;0)</f>
        <v>1</v>
      </c>
    </row>
    <row r="8" spans="1:7">
      <c r="A8" s="2" t="s">
        <v>37</v>
      </c>
      <c r="B8" s="5">
        <f>--(class_abundance!G8&gt;0)</f>
        <v>1</v>
      </c>
      <c r="C8" s="5">
        <f>--(class_abundance!H8&gt;0)</f>
        <v>1</v>
      </c>
      <c r="D8" s="5">
        <f>--(class_abundance!I8&gt;0)</f>
        <v>0</v>
      </c>
      <c r="E8" s="5">
        <f>--(class_abundance!J8&gt;0)</f>
        <v>1</v>
      </c>
      <c r="F8" s="5">
        <f>SUM(B8:E8)</f>
        <v>3</v>
      </c>
      <c r="G8" s="5">
        <f>--(F8&gt;0)</f>
        <v>1</v>
      </c>
    </row>
    <row r="9" spans="1:7">
      <c r="A9" s="2" t="s">
        <v>38</v>
      </c>
      <c r="B9" s="5">
        <f>--(class_abundance!G9&gt;0)</f>
        <v>0</v>
      </c>
      <c r="C9" s="5">
        <f>--(class_abundance!H9&gt;0)</f>
        <v>0</v>
      </c>
      <c r="D9" s="5">
        <f>--(class_abundance!I9&gt;0)</f>
        <v>0</v>
      </c>
      <c r="E9" s="5">
        <f>--(class_abundance!J9&gt;0)</f>
        <v>0</v>
      </c>
      <c r="F9" s="5">
        <f>SUM(B9:E9)</f>
        <v>0</v>
      </c>
      <c r="G9" s="5">
        <f>--(F9&gt;0)</f>
        <v>0</v>
      </c>
    </row>
    <row r="10" spans="1:7">
      <c r="A10" s="2" t="s">
        <v>41</v>
      </c>
      <c r="B10" s="5">
        <f>--(class_abundance!G10&gt;0)</f>
        <v>0</v>
      </c>
      <c r="C10" s="5">
        <f>--(class_abundance!H10&gt;0)</f>
        <v>0</v>
      </c>
      <c r="D10" s="5">
        <f>--(class_abundance!I10&gt;0)</f>
        <v>1</v>
      </c>
      <c r="E10" s="5">
        <f>--(class_abundance!J10&gt;0)</f>
        <v>1</v>
      </c>
      <c r="F10" s="5">
        <f>SUM(B10:E10)</f>
        <v>2</v>
      </c>
      <c r="G10" s="5">
        <f>--(F10&gt;0)</f>
        <v>1</v>
      </c>
    </row>
    <row r="11" spans="1:7">
      <c r="A11" s="2" t="s">
        <v>42</v>
      </c>
      <c r="B11" s="5">
        <f>--(class_abundance!G11&gt;0)</f>
        <v>0</v>
      </c>
      <c r="C11" s="5">
        <f>--(class_abundance!H11&gt;0)</f>
        <v>0</v>
      </c>
      <c r="D11" s="5">
        <f>--(class_abundance!I11&gt;0)</f>
        <v>0</v>
      </c>
      <c r="E11" s="5">
        <f>--(class_abundance!J11&gt;0)</f>
        <v>1</v>
      </c>
      <c r="F11" s="5">
        <f>SUM(B11:E11)</f>
        <v>1</v>
      </c>
      <c r="G11" s="5">
        <f>--(F11&gt;0)</f>
        <v>1</v>
      </c>
    </row>
    <row r="12" spans="1:7">
      <c r="A12" s="2" t="s">
        <v>43</v>
      </c>
      <c r="B12" s="5">
        <f>--(class_abundance!G12&gt;0)</f>
        <v>1</v>
      </c>
      <c r="C12" s="5">
        <f>--(class_abundance!H12&gt;0)</f>
        <v>1</v>
      </c>
      <c r="D12" s="5">
        <f>--(class_abundance!I12&gt;0)</f>
        <v>0</v>
      </c>
      <c r="E12" s="5">
        <f>--(class_abundance!J12&gt;0)</f>
        <v>1</v>
      </c>
      <c r="F12" s="5">
        <f>SUM(B12:E12)</f>
        <v>3</v>
      </c>
      <c r="G12" s="5">
        <f>--(F12&gt;0)</f>
        <v>1</v>
      </c>
    </row>
    <row r="13" spans="1:7">
      <c r="A13" s="2" t="s">
        <v>46</v>
      </c>
      <c r="B13" s="5">
        <f>--(class_abundance!G13&gt;0)</f>
        <v>0</v>
      </c>
      <c r="C13" s="5">
        <f>--(class_abundance!H13&gt;0)</f>
        <v>0</v>
      </c>
      <c r="D13" s="5">
        <f>--(class_abundance!I13&gt;0)</f>
        <v>0</v>
      </c>
      <c r="E13" s="5">
        <f>--(class_abundance!J13&gt;0)</f>
        <v>1</v>
      </c>
      <c r="F13" s="5">
        <f>SUM(B13:E13)</f>
        <v>1</v>
      </c>
      <c r="G13" s="5">
        <f>--(F13&gt;0)</f>
        <v>1</v>
      </c>
    </row>
    <row r="14" spans="1:7">
      <c r="A14" s="2" t="s">
        <v>47</v>
      </c>
      <c r="B14" s="5">
        <f>--(class_abundance!G14&gt;0)</f>
        <v>1</v>
      </c>
      <c r="C14" s="5">
        <f>--(class_abundance!H14&gt;0)</f>
        <v>0</v>
      </c>
      <c r="D14" s="5">
        <f>--(class_abundance!I14&gt;0)</f>
        <v>0</v>
      </c>
      <c r="E14" s="5">
        <f>--(class_abundance!J14&gt;0)</f>
        <v>1</v>
      </c>
      <c r="F14" s="5">
        <f>SUM(B14:E14)</f>
        <v>2</v>
      </c>
      <c r="G14" s="5">
        <f>--(F14&gt;0)</f>
        <v>1</v>
      </c>
    </row>
    <row r="15" spans="1:7">
      <c r="A15" s="2" t="s">
        <v>48</v>
      </c>
      <c r="B15" s="5">
        <f>--(class_abundance!G15&gt;0)</f>
        <v>1</v>
      </c>
      <c r="C15" s="5">
        <f>--(class_abundance!H15&gt;0)</f>
        <v>0</v>
      </c>
      <c r="D15" s="5">
        <f>--(class_abundance!I15&gt;0)</f>
        <v>0</v>
      </c>
      <c r="E15" s="5">
        <f>--(class_abundance!J15&gt;0)</f>
        <v>1</v>
      </c>
      <c r="F15" s="5">
        <f>SUM(B15:E15)</f>
        <v>2</v>
      </c>
      <c r="G15" s="5">
        <f>--(F15&gt;0)</f>
        <v>1</v>
      </c>
    </row>
    <row r="16" spans="1:7">
      <c r="A16" s="2" t="s">
        <v>53</v>
      </c>
      <c r="B16" s="5">
        <f>--(class_abundance!G16&gt;0)</f>
        <v>0</v>
      </c>
      <c r="C16" s="5">
        <f>--(class_abundance!H16&gt;0)</f>
        <v>0</v>
      </c>
      <c r="D16" s="5">
        <f>--(class_abundance!I16&gt;0)</f>
        <v>0</v>
      </c>
      <c r="E16" s="5">
        <f>--(class_abundance!J16&gt;0)</f>
        <v>0</v>
      </c>
      <c r="F16" s="5">
        <f>SUM(B16:E16)</f>
        <v>0</v>
      </c>
      <c r="G16" s="5">
        <f>--(F16&gt;0)</f>
        <v>0</v>
      </c>
    </row>
    <row r="17" spans="1:7">
      <c r="A17" s="2" t="s">
        <v>54</v>
      </c>
      <c r="B17" s="5">
        <f>--(class_abundance!G17&gt;0)</f>
        <v>1</v>
      </c>
      <c r="C17" s="5">
        <f>--(class_abundance!H17&gt;0)</f>
        <v>0</v>
      </c>
      <c r="D17" s="5">
        <f>--(class_abundance!I17&gt;0)</f>
        <v>0</v>
      </c>
      <c r="E17" s="5">
        <f>--(class_abundance!J17&gt;0)</f>
        <v>1</v>
      </c>
      <c r="F17" s="5">
        <f>SUM(B17:E17)</f>
        <v>2</v>
      </c>
      <c r="G17" s="5">
        <f>--(F17&gt;0)</f>
        <v>1</v>
      </c>
    </row>
    <row r="18" spans="1:7">
      <c r="A18" s="2" t="s">
        <v>55</v>
      </c>
      <c r="B18" s="5">
        <f>--(class_abundance!G18&gt;0)</f>
        <v>0</v>
      </c>
      <c r="C18" s="5">
        <f>--(class_abundance!H18&gt;0)</f>
        <v>0</v>
      </c>
      <c r="D18" s="5">
        <f>--(class_abundance!I18&gt;0)</f>
        <v>0</v>
      </c>
      <c r="E18" s="5">
        <f>--(class_abundance!J18&gt;0)</f>
        <v>1</v>
      </c>
      <c r="F18" s="5">
        <f>SUM(B18:E18)</f>
        <v>1</v>
      </c>
      <c r="G18" s="5">
        <f>--(F18&gt;0)</f>
        <v>1</v>
      </c>
    </row>
    <row r="19" spans="1:7">
      <c r="A19" s="2" t="s">
        <v>58</v>
      </c>
      <c r="B19" s="5">
        <f>--(class_abundance!G19&gt;0)</f>
        <v>0</v>
      </c>
      <c r="C19" s="5">
        <f>--(class_abundance!H19&gt;0)</f>
        <v>0</v>
      </c>
      <c r="D19" s="5">
        <f>--(class_abundance!I19&gt;0)</f>
        <v>0</v>
      </c>
      <c r="E19" s="5">
        <f>--(class_abundance!J19&gt;0)</f>
        <v>1</v>
      </c>
      <c r="F19" s="5">
        <f>SUM(B19:E19)</f>
        <v>1</v>
      </c>
      <c r="G19" s="5">
        <f>--(F19&gt;0)</f>
        <v>1</v>
      </c>
    </row>
    <row r="20" spans="1:7">
      <c r="A20" s="2" t="s">
        <v>63</v>
      </c>
      <c r="B20" s="5">
        <f>--(class_abundance!G20&gt;0)</f>
        <v>1</v>
      </c>
      <c r="C20" s="5">
        <f>--(class_abundance!H20&gt;0)</f>
        <v>0</v>
      </c>
      <c r="D20" s="5">
        <f>--(class_abundance!I20&gt;0)</f>
        <v>0</v>
      </c>
      <c r="E20" s="5">
        <f>--(class_abundance!J20&gt;0)</f>
        <v>0</v>
      </c>
      <c r="F20" s="5">
        <f>SUM(B20:E20)</f>
        <v>1</v>
      </c>
      <c r="G20" s="5">
        <f>--(F20&gt;0)</f>
        <v>1</v>
      </c>
    </row>
    <row r="21" spans="1:7">
      <c r="A21" s="2" t="s">
        <v>68</v>
      </c>
      <c r="B21" s="5">
        <f>--(class_abundance!G21&gt;0)</f>
        <v>0</v>
      </c>
      <c r="C21" s="5">
        <f>--(class_abundance!H21&gt;0)</f>
        <v>0</v>
      </c>
      <c r="D21" s="5">
        <f>--(class_abundance!I21&gt;0)</f>
        <v>1</v>
      </c>
      <c r="E21" s="5">
        <f>--(class_abundance!J21&gt;0)</f>
        <v>0</v>
      </c>
      <c r="F21" s="5">
        <f>SUM(B21:E21)</f>
        <v>1</v>
      </c>
      <c r="G21" s="5">
        <f>--(F21&gt;0)</f>
        <v>1</v>
      </c>
    </row>
    <row r="22" spans="1:7">
      <c r="A22" s="2" t="s">
        <v>69</v>
      </c>
      <c r="B22" s="5">
        <f>--(class_abundance!G22&gt;0)</f>
        <v>1</v>
      </c>
      <c r="C22" s="5">
        <f>--(class_abundance!H22&gt;0)</f>
        <v>0</v>
      </c>
      <c r="D22" s="5">
        <f>--(class_abundance!I22&gt;0)</f>
        <v>0</v>
      </c>
      <c r="E22" s="5">
        <f>--(class_abundance!J22&gt;0)</f>
        <v>0</v>
      </c>
      <c r="F22" s="5">
        <f>SUM(B22:E22)</f>
        <v>1</v>
      </c>
      <c r="G22" s="5">
        <f>--(F22&gt;0)</f>
        <v>1</v>
      </c>
    </row>
    <row r="23" spans="1:7">
      <c r="A23" s="2" t="s">
        <v>70</v>
      </c>
      <c r="B23" s="5">
        <f>--(class_abundance!G23&gt;0)</f>
        <v>0</v>
      </c>
      <c r="C23" s="5">
        <f>--(class_abundance!H23&gt;0)</f>
        <v>0</v>
      </c>
      <c r="D23" s="5">
        <f>--(class_abundance!I23&gt;0)</f>
        <v>0</v>
      </c>
      <c r="E23" s="5">
        <f>--(class_abundance!J23&gt;0)</f>
        <v>0</v>
      </c>
      <c r="F23" s="5">
        <f>SUM(B23:E23)</f>
        <v>0</v>
      </c>
      <c r="G23" s="5">
        <f>--(F23&gt;0)</f>
        <v>0</v>
      </c>
    </row>
    <row r="24" spans="1:7">
      <c r="A24" s="2" t="s">
        <v>75</v>
      </c>
      <c r="B24" s="5">
        <f>--(class_abundance!G24&gt;0)</f>
        <v>0</v>
      </c>
      <c r="C24" s="5">
        <f>--(class_abundance!H24&gt;0)</f>
        <v>0</v>
      </c>
      <c r="D24" s="5">
        <f>--(class_abundance!I24&gt;0)</f>
        <v>0</v>
      </c>
      <c r="E24" s="5">
        <f>--(class_abundance!J24&gt;0)</f>
        <v>0</v>
      </c>
      <c r="F24" s="5">
        <f>SUM(B24:E24)</f>
        <v>0</v>
      </c>
      <c r="G24" s="5">
        <f>--(F24&gt;0)</f>
        <v>0</v>
      </c>
    </row>
    <row r="25" spans="1:7">
      <c r="A25" s="2" t="s">
        <v>76</v>
      </c>
      <c r="B25" s="5">
        <f>--(class_abundance!G25&gt;0)</f>
        <v>0</v>
      </c>
      <c r="C25" s="5">
        <f>--(class_abundance!H25&gt;0)</f>
        <v>0</v>
      </c>
      <c r="D25" s="5">
        <f>--(class_abundance!I25&gt;0)</f>
        <v>0</v>
      </c>
      <c r="E25" s="5">
        <f>--(class_abundance!J25&gt;0)</f>
        <v>0</v>
      </c>
      <c r="F25" s="5">
        <f>SUM(B25:E25)</f>
        <v>0</v>
      </c>
      <c r="G25" s="5">
        <f>--(F25&gt;0)</f>
        <v>0</v>
      </c>
    </row>
    <row r="26" spans="1:7">
      <c r="A26" s="2" t="s">
        <v>77</v>
      </c>
      <c r="B26" s="5">
        <f>--(class_abundance!G26&gt;0)</f>
        <v>1</v>
      </c>
      <c r="C26" s="5">
        <f>--(class_abundance!H26&gt;0)</f>
        <v>0</v>
      </c>
      <c r="D26" s="5">
        <f>--(class_abundance!I26&gt;0)</f>
        <v>0</v>
      </c>
      <c r="E26" s="5">
        <f>--(class_abundance!J26&gt;0)</f>
        <v>0</v>
      </c>
      <c r="F26" s="5">
        <f>SUM(B26:E26)</f>
        <v>1</v>
      </c>
      <c r="G26" s="5">
        <f>--(F26&gt;0)</f>
        <v>1</v>
      </c>
    </row>
    <row r="27" spans="1:7">
      <c r="A27" s="2" t="s">
        <v>81</v>
      </c>
      <c r="B27" s="5">
        <f>--(class_abundance!G27&gt;0)</f>
        <v>0</v>
      </c>
      <c r="C27" s="5">
        <f>--(class_abundance!H27&gt;0)</f>
        <v>0</v>
      </c>
      <c r="D27" s="5">
        <f>--(class_abundance!I27&gt;0)</f>
        <v>0</v>
      </c>
      <c r="E27" s="5">
        <f>--(class_abundance!J27&gt;0)</f>
        <v>0</v>
      </c>
      <c r="F27" s="5">
        <f>SUM(B27:E27)</f>
        <v>0</v>
      </c>
      <c r="G27" s="5">
        <f>--(F27&gt;0)</f>
        <v>0</v>
      </c>
    </row>
    <row r="28" spans="1:7">
      <c r="A28" s="2" t="s">
        <v>82</v>
      </c>
      <c r="B28" s="5">
        <f>--(class_abundance!G28&gt;0)</f>
        <v>0</v>
      </c>
      <c r="C28" s="5">
        <f>--(class_abundance!H28&gt;0)</f>
        <v>0</v>
      </c>
      <c r="D28" s="5">
        <f>--(class_abundance!I28&gt;0)</f>
        <v>0</v>
      </c>
      <c r="E28" s="5">
        <f>--(class_abundance!J28&gt;0)</f>
        <v>0</v>
      </c>
      <c r="F28" s="5">
        <f>SUM(B28:E28)</f>
        <v>0</v>
      </c>
      <c r="G28" s="5">
        <f>--(F28&gt;0)</f>
        <v>0</v>
      </c>
    </row>
    <row r="29" spans="1:7">
      <c r="A29" s="2" t="s">
        <v>83</v>
      </c>
      <c r="B29" s="5">
        <f>--(class_abundance!G29&gt;0)</f>
        <v>0</v>
      </c>
      <c r="C29" s="5">
        <f>--(class_abundance!H29&gt;0)</f>
        <v>0</v>
      </c>
      <c r="D29" s="5">
        <f>--(class_abundance!I29&gt;0)</f>
        <v>0</v>
      </c>
      <c r="E29" s="5">
        <f>--(class_abundance!J29&gt;0)</f>
        <v>0</v>
      </c>
      <c r="F29" s="5">
        <f>SUM(B29:E29)</f>
        <v>0</v>
      </c>
      <c r="G29" s="5">
        <f>--(F29&gt;0)</f>
        <v>0</v>
      </c>
    </row>
    <row r="30" spans="1:7">
      <c r="A30" s="2" t="s">
        <v>86</v>
      </c>
      <c r="B30" s="5">
        <f>--(class_abundance!G30&gt;0)</f>
        <v>0</v>
      </c>
      <c r="C30" s="5">
        <f>--(class_abundance!H30&gt;0)</f>
        <v>0</v>
      </c>
      <c r="D30" s="5">
        <f>--(class_abundance!I30&gt;0)</f>
        <v>0</v>
      </c>
      <c r="E30" s="5">
        <f>--(class_abundance!J30&gt;0)</f>
        <v>0</v>
      </c>
      <c r="F30" s="5">
        <f>SUM(B30:E30)</f>
        <v>0</v>
      </c>
      <c r="G30" s="5">
        <f>--(F30&gt;0)</f>
        <v>0</v>
      </c>
    </row>
    <row r="31" spans="1:7">
      <c r="A31" s="2" t="s">
        <v>87</v>
      </c>
      <c r="B31" s="5">
        <f>--(class_abundance!G31&gt;0)</f>
        <v>1</v>
      </c>
      <c r="C31" s="5">
        <f>--(class_abundance!H31&gt;0)</f>
        <v>0</v>
      </c>
      <c r="D31" s="5">
        <f>--(class_abundance!I31&gt;0)</f>
        <v>0</v>
      </c>
      <c r="E31" s="5">
        <f>--(class_abundance!J31&gt;0)</f>
        <v>0</v>
      </c>
      <c r="F31" s="5">
        <f>SUM(B31:E31)</f>
        <v>1</v>
      </c>
      <c r="G31" s="5">
        <f>--(F31&gt;0)</f>
        <v>1</v>
      </c>
    </row>
    <row r="32" spans="1:7">
      <c r="A32" s="2" t="s">
        <v>88</v>
      </c>
      <c r="B32" s="5">
        <f>--(class_abundance!G32&gt;0)</f>
        <v>0</v>
      </c>
      <c r="C32" s="5">
        <f>--(class_abundance!H32&gt;0)</f>
        <v>0</v>
      </c>
      <c r="D32" s="5">
        <f>--(class_abundance!I32&gt;0)</f>
        <v>0</v>
      </c>
      <c r="E32" s="5">
        <f>--(class_abundance!J32&gt;0)</f>
        <v>0</v>
      </c>
      <c r="F32" s="5">
        <f>SUM(B32:E32)</f>
        <v>0</v>
      </c>
      <c r="G32" s="5">
        <f>--(F32&gt;0)</f>
        <v>0</v>
      </c>
    </row>
    <row r="33" spans="1:7">
      <c r="A33" s="2" t="s">
        <v>92</v>
      </c>
      <c r="B33" s="5">
        <f>--(class_abundance!G33&gt;0)</f>
        <v>1</v>
      </c>
      <c r="C33" s="5">
        <f>--(class_abundance!H33&gt;0)</f>
        <v>0</v>
      </c>
      <c r="D33" s="5">
        <f>--(class_abundance!I33&gt;0)</f>
        <v>0</v>
      </c>
      <c r="E33" s="5">
        <f>--(class_abundance!J33&gt;0)</f>
        <v>1</v>
      </c>
      <c r="F33" s="5">
        <f>SUM(B33:E33)</f>
        <v>2</v>
      </c>
      <c r="G33" s="5">
        <f>--(F33&gt;0)</f>
        <v>1</v>
      </c>
    </row>
    <row r="34" spans="1:7">
      <c r="A34" s="2" t="s">
        <v>93</v>
      </c>
      <c r="B34" s="5">
        <f>--(class_abundance!G34&gt;0)</f>
        <v>0</v>
      </c>
      <c r="C34" s="5">
        <f>--(class_abundance!H34&gt;0)</f>
        <v>0</v>
      </c>
      <c r="D34" s="5">
        <f>--(class_abundance!I34&gt;0)</f>
        <v>0</v>
      </c>
      <c r="E34" s="5">
        <f>--(class_abundance!J34&gt;0)</f>
        <v>0</v>
      </c>
      <c r="F34" s="5">
        <f>SUM(B34:E34)</f>
        <v>0</v>
      </c>
      <c r="G34" s="5">
        <f>--(F34&gt;0)</f>
        <v>0</v>
      </c>
    </row>
    <row r="35" spans="1:7">
      <c r="A35" s="2" t="s">
        <v>94</v>
      </c>
      <c r="B35" s="5">
        <f>--(class_abundance!G35&gt;0)</f>
        <v>1</v>
      </c>
      <c r="C35" s="5">
        <f>--(class_abundance!H35&gt;0)</f>
        <v>0</v>
      </c>
      <c r="D35" s="5">
        <f>--(class_abundance!I35&gt;0)</f>
        <v>1</v>
      </c>
      <c r="E35" s="5">
        <f>--(class_abundance!J35&gt;0)</f>
        <v>1</v>
      </c>
      <c r="F35" s="5">
        <f>SUM(B35:E35)</f>
        <v>3</v>
      </c>
      <c r="G35" s="5">
        <f>--(F35&gt;0)</f>
        <v>1</v>
      </c>
    </row>
    <row r="36" spans="1:7">
      <c r="A36" s="2" t="s">
        <v>95</v>
      </c>
      <c r="B36" s="5">
        <f>--(class_abundance!G36&gt;0)</f>
        <v>0</v>
      </c>
      <c r="C36" s="5">
        <f>--(class_abundance!H36&gt;0)</f>
        <v>0</v>
      </c>
      <c r="D36" s="5">
        <f>--(class_abundance!I36&gt;0)</f>
        <v>1</v>
      </c>
      <c r="E36" s="5">
        <f>--(class_abundance!J36&gt;0)</f>
        <v>0</v>
      </c>
      <c r="F36" s="5">
        <f>SUM(B36:E36)</f>
        <v>1</v>
      </c>
      <c r="G36" s="5">
        <f>--(F36&gt;0)</f>
        <v>1</v>
      </c>
    </row>
    <row r="37" spans="1:7">
      <c r="A37" s="2" t="s">
        <v>96</v>
      </c>
      <c r="B37" s="5">
        <f>--(class_abundance!G37&gt;0)</f>
        <v>0</v>
      </c>
      <c r="C37" s="5">
        <f>--(class_abundance!H37&gt;0)</f>
        <v>0</v>
      </c>
      <c r="D37" s="5">
        <f>--(class_abundance!I37&gt;0)</f>
        <v>0</v>
      </c>
      <c r="E37" s="5">
        <f>--(class_abundance!J37&gt;0)</f>
        <v>0</v>
      </c>
      <c r="F37" s="5">
        <f>SUM(B37:E37)</f>
        <v>0</v>
      </c>
      <c r="G37" s="5">
        <f>--(F37&gt;0)</f>
        <v>0</v>
      </c>
    </row>
    <row r="38" spans="1:7">
      <c r="A38" s="2" t="s">
        <v>99</v>
      </c>
      <c r="B38" s="5">
        <f>--(class_abundance!G38&gt;0)</f>
        <v>0</v>
      </c>
      <c r="C38" s="5">
        <f>--(class_abundance!H38&gt;0)</f>
        <v>0</v>
      </c>
      <c r="D38" s="5">
        <f>--(class_abundance!I38&gt;0)</f>
        <v>0</v>
      </c>
      <c r="E38" s="5">
        <f>--(class_abundance!J38&gt;0)</f>
        <v>0</v>
      </c>
      <c r="F38" s="5">
        <f>SUM(B38:E38)</f>
        <v>0</v>
      </c>
      <c r="G38" s="5">
        <f>--(F38&gt;0)</f>
        <v>0</v>
      </c>
    </row>
    <row r="39" spans="1:7">
      <c r="A39" s="2" t="s">
        <v>100</v>
      </c>
      <c r="B39" s="5">
        <f>--(class_abundance!G39&gt;0)</f>
        <v>1</v>
      </c>
      <c r="C39" s="5">
        <f>--(class_abundance!H39&gt;0)</f>
        <v>0</v>
      </c>
      <c r="D39" s="5">
        <f>--(class_abundance!I39&gt;0)</f>
        <v>0</v>
      </c>
      <c r="E39" s="5">
        <f>--(class_abundance!J39&gt;0)</f>
        <v>0</v>
      </c>
      <c r="F39" s="5">
        <f>SUM(B39:E39)</f>
        <v>1</v>
      </c>
      <c r="G39" s="5">
        <f>--(F39&gt;0)</f>
        <v>1</v>
      </c>
    </row>
    <row r="40" spans="1:7">
      <c r="A40" s="2" t="s">
        <v>101</v>
      </c>
      <c r="B40" s="5">
        <f>--(class_abundance!G40&gt;0)</f>
        <v>0</v>
      </c>
      <c r="C40" s="5">
        <f>--(class_abundance!H40&gt;0)</f>
        <v>0</v>
      </c>
      <c r="D40" s="5">
        <f>--(class_abundance!I40&gt;0)</f>
        <v>0</v>
      </c>
      <c r="E40" s="5">
        <f>--(class_abundance!J40&gt;0)</f>
        <v>0</v>
      </c>
      <c r="F40" s="5">
        <f>SUM(B40:E40)</f>
        <v>0</v>
      </c>
      <c r="G40" s="5">
        <f>--(F40&gt;0)</f>
        <v>0</v>
      </c>
    </row>
    <row r="41" spans="1:7">
      <c r="A41" s="2" t="s">
        <v>102</v>
      </c>
      <c r="B41" s="5">
        <f>--(class_abundance!G41&gt;0)</f>
        <v>0</v>
      </c>
      <c r="C41" s="5">
        <f>--(class_abundance!H41&gt;0)</f>
        <v>0</v>
      </c>
      <c r="D41" s="5">
        <f>--(class_abundance!I41&gt;0)</f>
        <v>0</v>
      </c>
      <c r="E41" s="5">
        <f>--(class_abundance!J41&gt;0)</f>
        <v>0</v>
      </c>
      <c r="F41" s="5">
        <f>SUM(B41:E41)</f>
        <v>0</v>
      </c>
      <c r="G41" s="5">
        <f>--(F41&gt;0)</f>
        <v>0</v>
      </c>
    </row>
    <row r="42" spans="1:7">
      <c r="A42" s="2" t="s">
        <v>103</v>
      </c>
      <c r="B42" s="5">
        <f>--(class_abundance!G42&gt;0)</f>
        <v>0</v>
      </c>
      <c r="C42" s="5">
        <f>--(class_abundance!H42&gt;0)</f>
        <v>0</v>
      </c>
      <c r="D42" s="5">
        <f>--(class_abundance!I42&gt;0)</f>
        <v>0</v>
      </c>
      <c r="E42" s="5">
        <f>--(class_abundance!J42&gt;0)</f>
        <v>0</v>
      </c>
      <c r="F42" s="5">
        <f>SUM(B42:E42)</f>
        <v>0</v>
      </c>
      <c r="G42" s="5">
        <f>--(F42&gt;0)</f>
        <v>0</v>
      </c>
    </row>
    <row r="43" spans="1:7">
      <c r="A43" s="2" t="s">
        <v>104</v>
      </c>
      <c r="B43" s="5">
        <f>--(class_abundance!G43&gt;0)</f>
        <v>0</v>
      </c>
      <c r="C43" s="5">
        <f>--(class_abundance!H43&gt;0)</f>
        <v>0</v>
      </c>
      <c r="D43" s="5">
        <f>--(class_abundance!I43&gt;0)</f>
        <v>1</v>
      </c>
      <c r="E43" s="5">
        <f>--(class_abundance!J43&gt;0)</f>
        <v>1</v>
      </c>
      <c r="F43" s="5">
        <f>SUM(B43:E43)</f>
        <v>2</v>
      </c>
      <c r="G43" s="5">
        <f>--(F43&gt;0)</f>
        <v>1</v>
      </c>
    </row>
    <row r="44" spans="1:7">
      <c r="A44" s="2" t="s">
        <v>107</v>
      </c>
      <c r="B44" s="5">
        <f>--(class_abundance!G44&gt;0)</f>
        <v>0</v>
      </c>
      <c r="C44" s="5">
        <f>--(class_abundance!H44&gt;0)</f>
        <v>0</v>
      </c>
      <c r="D44" s="5">
        <f>--(class_abundance!I44&gt;0)</f>
        <v>1</v>
      </c>
      <c r="E44" s="5">
        <f>--(class_abundance!J44&gt;0)</f>
        <v>0</v>
      </c>
      <c r="F44" s="5">
        <f>SUM(B44:E44)</f>
        <v>1</v>
      </c>
      <c r="G44" s="5">
        <f>--(F44&gt;0)</f>
        <v>1</v>
      </c>
    </row>
    <row r="45" spans="1:7">
      <c r="A45" s="2" t="s">
        <v>108</v>
      </c>
      <c r="B45" s="5">
        <f>--(class_abundance!G45&gt;0)</f>
        <v>0</v>
      </c>
      <c r="C45" s="5">
        <f>--(class_abundance!H45&gt;0)</f>
        <v>0</v>
      </c>
      <c r="D45" s="5">
        <f>--(class_abundance!I45&gt;0)</f>
        <v>0</v>
      </c>
      <c r="E45" s="5">
        <f>--(class_abundance!J45&gt;0)</f>
        <v>0</v>
      </c>
      <c r="F45" s="5">
        <f>SUM(B45:E45)</f>
        <v>0</v>
      </c>
      <c r="G45" s="5">
        <f>--(F45&gt;0)</f>
        <v>0</v>
      </c>
    </row>
    <row r="46" spans="1:7">
      <c r="A46" s="2" t="s">
        <v>109</v>
      </c>
      <c r="B46" s="5">
        <f>--(class_abundance!G46&gt;0)</f>
        <v>0</v>
      </c>
      <c r="C46" s="5">
        <f>--(class_abundance!H46&gt;0)</f>
        <v>0</v>
      </c>
      <c r="D46" s="5">
        <f>--(class_abundance!I46&gt;0)</f>
        <v>1</v>
      </c>
      <c r="E46" s="5">
        <f>--(class_abundance!J46&gt;0)</f>
        <v>0</v>
      </c>
      <c r="F46" s="5">
        <f>SUM(B46:E46)</f>
        <v>1</v>
      </c>
      <c r="G46" s="5">
        <f>--(F46&gt;0)</f>
        <v>1</v>
      </c>
    </row>
    <row r="47" spans="1:7">
      <c r="A47" s="2" t="s">
        <v>112</v>
      </c>
      <c r="B47" s="5">
        <f>--(class_abundance!G47&gt;0)</f>
        <v>0</v>
      </c>
      <c r="C47" s="5">
        <f>--(class_abundance!H47&gt;0)</f>
        <v>0</v>
      </c>
      <c r="D47" s="5">
        <f>--(class_abundance!I47&gt;0)</f>
        <v>0</v>
      </c>
      <c r="E47" s="5">
        <f>--(class_abundance!J47&gt;0)</f>
        <v>0</v>
      </c>
      <c r="F47" s="5">
        <f>SUM(B47:E47)</f>
        <v>0</v>
      </c>
      <c r="G47" s="5">
        <f>--(F47&gt;0)</f>
        <v>0</v>
      </c>
    </row>
    <row r="48" spans="1:7">
      <c r="A48" s="2" t="s">
        <v>113</v>
      </c>
      <c r="B48" s="5">
        <f>--(class_abundance!G48&gt;0)</f>
        <v>0</v>
      </c>
      <c r="C48" s="5">
        <f>--(class_abundance!H48&gt;0)</f>
        <v>0</v>
      </c>
      <c r="D48" s="5">
        <f>--(class_abundance!I48&gt;0)</f>
        <v>1</v>
      </c>
      <c r="E48" s="5">
        <f>--(class_abundance!J48&gt;0)</f>
        <v>0</v>
      </c>
      <c r="F48" s="5">
        <f>SUM(B48:E48)</f>
        <v>1</v>
      </c>
      <c r="G48" s="5">
        <f>--(F48&gt;0)</f>
        <v>1</v>
      </c>
    </row>
    <row r="49" spans="1:7">
      <c r="A49" s="2" t="s">
        <v>114</v>
      </c>
      <c r="B49" s="5">
        <f>--(class_abundance!G49&gt;0)</f>
        <v>1</v>
      </c>
      <c r="C49" s="5">
        <f>--(class_abundance!H49&gt;0)</f>
        <v>0</v>
      </c>
      <c r="D49" s="5">
        <f>--(class_abundance!I49&gt;0)</f>
        <v>0</v>
      </c>
      <c r="E49" s="5">
        <f>--(class_abundance!J49&gt;0)</f>
        <v>0</v>
      </c>
      <c r="F49" s="5">
        <f>SUM(B49:E49)</f>
        <v>1</v>
      </c>
      <c r="G49" s="5">
        <f>--(F49&gt;0)</f>
        <v>1</v>
      </c>
    </row>
    <row r="50" spans="1:7">
      <c r="A50" s="2" t="s">
        <v>117</v>
      </c>
      <c r="B50" s="5">
        <f>--(class_abundance!G50&gt;0)</f>
        <v>0</v>
      </c>
      <c r="C50" s="5">
        <f>--(class_abundance!H50&gt;0)</f>
        <v>0</v>
      </c>
      <c r="D50" s="5">
        <f>--(class_abundance!I50&gt;0)</f>
        <v>0</v>
      </c>
      <c r="E50" s="5">
        <f>--(class_abundance!J50&gt;0)</f>
        <v>1</v>
      </c>
      <c r="F50" s="5">
        <f>SUM(B50:E50)</f>
        <v>1</v>
      </c>
      <c r="G50" s="5">
        <f>--(F50&gt;0)</f>
        <v>1</v>
      </c>
    </row>
    <row r="51" spans="1:7">
      <c r="A51" s="2" t="s">
        <v>118</v>
      </c>
      <c r="B51" s="5">
        <f>--(class_abundance!G51&gt;0)</f>
        <v>0</v>
      </c>
      <c r="C51" s="5">
        <f>--(class_abundance!H51&gt;0)</f>
        <v>0</v>
      </c>
      <c r="D51" s="5">
        <f>--(class_abundance!I51&gt;0)</f>
        <v>0</v>
      </c>
      <c r="E51" s="5">
        <f>--(class_abundance!J51&gt;0)</f>
        <v>1</v>
      </c>
      <c r="F51" s="5">
        <f>SUM(B51:E51)</f>
        <v>1</v>
      </c>
      <c r="G51" s="5">
        <f>--(F51&gt;0)</f>
        <v>1</v>
      </c>
    </row>
    <row r="52" spans="1:7">
      <c r="A52" s="2" t="s">
        <v>119</v>
      </c>
      <c r="B52" s="5">
        <f>--(class_abundance!G52&gt;0)</f>
        <v>0</v>
      </c>
      <c r="C52" s="5">
        <f>--(class_abundance!H52&gt;0)</f>
        <v>0</v>
      </c>
      <c r="D52" s="5">
        <f>--(class_abundance!I52&gt;0)</f>
        <v>0</v>
      </c>
      <c r="E52" s="5">
        <f>--(class_abundance!J52&gt;0)</f>
        <v>0</v>
      </c>
      <c r="F52" s="5">
        <f>SUM(B52:E52)</f>
        <v>0</v>
      </c>
      <c r="G52" s="5">
        <f>--(F52&gt;0)</f>
        <v>0</v>
      </c>
    </row>
    <row r="53" spans="1:7">
      <c r="A53" s="2" t="s">
        <v>122</v>
      </c>
      <c r="B53" s="5">
        <f>--(class_abundance!G53&gt;0)</f>
        <v>0</v>
      </c>
      <c r="C53" s="5">
        <f>--(class_abundance!H53&gt;0)</f>
        <v>0</v>
      </c>
      <c r="D53" s="5">
        <f>--(class_abundance!I53&gt;0)</f>
        <v>0</v>
      </c>
      <c r="E53" s="5">
        <f>--(class_abundance!J53&gt;0)</f>
        <v>0</v>
      </c>
      <c r="F53" s="5">
        <f>SUM(B53:E53)</f>
        <v>0</v>
      </c>
      <c r="G53" s="5">
        <f>--(F53&gt;0)</f>
        <v>0</v>
      </c>
    </row>
    <row r="54" spans="1:7">
      <c r="A54" s="2" t="s">
        <v>125</v>
      </c>
      <c r="B54" s="5">
        <f>--(class_abundance!G54&gt;0)</f>
        <v>0</v>
      </c>
      <c r="C54" s="5">
        <f>--(class_abundance!H54&gt;0)</f>
        <v>0</v>
      </c>
      <c r="D54" s="5">
        <f>--(class_abundance!I54&gt;0)</f>
        <v>0</v>
      </c>
      <c r="E54" s="5">
        <f>--(class_abundance!J54&gt;0)</f>
        <v>0</v>
      </c>
      <c r="F54" s="5">
        <f>SUM(B54:E54)</f>
        <v>0</v>
      </c>
      <c r="G54" s="5">
        <f>--(F54&gt;0)</f>
        <v>0</v>
      </c>
    </row>
    <row r="55" spans="1:7">
      <c r="A55" s="2" t="s">
        <v>126</v>
      </c>
      <c r="B55" s="5">
        <f>--(class_abundance!G55&gt;0)</f>
        <v>0</v>
      </c>
      <c r="C55" s="5">
        <f>--(class_abundance!H55&gt;0)</f>
        <v>0</v>
      </c>
      <c r="D55" s="5">
        <f>--(class_abundance!I55&gt;0)</f>
        <v>1</v>
      </c>
      <c r="E55" s="5">
        <f>--(class_abundance!J55&gt;0)</f>
        <v>0</v>
      </c>
      <c r="F55" s="5">
        <f>SUM(B55:E55)</f>
        <v>1</v>
      </c>
      <c r="G55" s="5">
        <f>--(F55&gt;0)</f>
        <v>1</v>
      </c>
    </row>
    <row r="56" spans="1:7">
      <c r="A56" s="2" t="s">
        <v>129</v>
      </c>
      <c r="B56" s="5">
        <f>--(class_abundance!G56&gt;0)</f>
        <v>0</v>
      </c>
      <c r="C56" s="5">
        <f>--(class_abundance!H56&gt;0)</f>
        <v>0</v>
      </c>
      <c r="D56" s="5">
        <f>--(class_abundance!I56&gt;0)</f>
        <v>0</v>
      </c>
      <c r="E56" s="5">
        <f>--(class_abundance!J56&gt;0)</f>
        <v>0</v>
      </c>
      <c r="F56" s="5">
        <f>SUM(B56:E56)</f>
        <v>0</v>
      </c>
      <c r="G56" s="5">
        <f>--(F56&gt;0)</f>
        <v>0</v>
      </c>
    </row>
    <row r="57" spans="1:7">
      <c r="A57" s="2" t="s">
        <v>132</v>
      </c>
      <c r="B57" s="5">
        <f>--(class_abundance!G57&gt;0)</f>
        <v>0</v>
      </c>
      <c r="C57" s="5">
        <f>--(class_abundance!H57&gt;0)</f>
        <v>0</v>
      </c>
      <c r="D57" s="5">
        <f>--(class_abundance!I57&gt;0)</f>
        <v>1</v>
      </c>
      <c r="E57" s="5">
        <f>--(class_abundance!J57&gt;0)</f>
        <v>0</v>
      </c>
      <c r="F57" s="5">
        <f>SUM(B57:E57)</f>
        <v>1</v>
      </c>
      <c r="G57" s="5">
        <f>--(F57&gt;0)</f>
        <v>1</v>
      </c>
    </row>
    <row r="58" spans="1:7">
      <c r="A58" s="2" t="s">
        <v>133</v>
      </c>
      <c r="B58" s="5">
        <f>--(class_abundance!G58&gt;0)</f>
        <v>0</v>
      </c>
      <c r="C58" s="5">
        <f>--(class_abundance!H58&gt;0)</f>
        <v>0</v>
      </c>
      <c r="D58" s="5">
        <f>--(class_abundance!I58&gt;0)</f>
        <v>0</v>
      </c>
      <c r="E58" s="5">
        <f>--(class_abundance!J58&gt;0)</f>
        <v>1</v>
      </c>
      <c r="F58" s="5">
        <f>SUM(B58:E58)</f>
        <v>1</v>
      </c>
      <c r="G58" s="5">
        <f>--(F58&gt;0)</f>
        <v>1</v>
      </c>
    </row>
    <row r="59" spans="1:7">
      <c r="A59" s="2" t="s">
        <v>138</v>
      </c>
      <c r="B59" s="5">
        <f>--(class_abundance!G59&gt;0)</f>
        <v>0</v>
      </c>
      <c r="C59" s="5">
        <f>--(class_abundance!H59&gt;0)</f>
        <v>0</v>
      </c>
      <c r="D59" s="5">
        <f>--(class_abundance!I59&gt;0)</f>
        <v>0</v>
      </c>
      <c r="E59" s="5">
        <f>--(class_abundance!J59&gt;0)</f>
        <v>1</v>
      </c>
      <c r="F59" s="5">
        <f>SUM(B59:E59)</f>
        <v>1</v>
      </c>
      <c r="G59" s="5">
        <f>--(F59&gt;0)</f>
        <v>1</v>
      </c>
    </row>
    <row r="60" spans="1:7">
      <c r="A60" s="2" t="s">
        <v>139</v>
      </c>
      <c r="B60" s="5">
        <f>--(class_abundance!G60&gt;0)</f>
        <v>0</v>
      </c>
      <c r="C60" s="5">
        <f>--(class_abundance!H60&gt;0)</f>
        <v>0</v>
      </c>
      <c r="D60" s="5">
        <f>--(class_abundance!I60&gt;0)</f>
        <v>0</v>
      </c>
      <c r="E60" s="5">
        <f>--(class_abundance!J60&gt;0)</f>
        <v>0</v>
      </c>
      <c r="F60" s="5">
        <f>SUM(B60:E60)</f>
        <v>0</v>
      </c>
      <c r="G60" s="5">
        <f>--(F60&gt;0)</f>
        <v>0</v>
      </c>
    </row>
    <row r="61" spans="1:7">
      <c r="A61" s="2" t="s">
        <v>140</v>
      </c>
      <c r="B61" s="5">
        <f>--(class_abundance!G61&gt;0)</f>
        <v>1</v>
      </c>
      <c r="C61" s="5">
        <f>--(class_abundance!H61&gt;0)</f>
        <v>0</v>
      </c>
      <c r="D61" s="5">
        <f>--(class_abundance!I61&gt;0)</f>
        <v>0</v>
      </c>
      <c r="E61" s="5">
        <f>--(class_abundance!J61&gt;0)</f>
        <v>0</v>
      </c>
      <c r="F61" s="5">
        <f>SUM(B61:E61)</f>
        <v>1</v>
      </c>
      <c r="G61" s="5">
        <f>--(F61&gt;0)</f>
        <v>1</v>
      </c>
    </row>
    <row r="62" spans="1:7">
      <c r="A62" s="2" t="s">
        <v>144</v>
      </c>
      <c r="B62" s="5">
        <f>--(class_abundance!G62&gt;0)</f>
        <v>0</v>
      </c>
      <c r="C62" s="5">
        <f>--(class_abundance!H62&gt;0)</f>
        <v>0</v>
      </c>
      <c r="D62" s="5">
        <f>--(class_abundance!I62&gt;0)</f>
        <v>0</v>
      </c>
      <c r="E62" s="5">
        <f>--(class_abundance!J62&gt;0)</f>
        <v>0</v>
      </c>
      <c r="F62" s="5">
        <f>SUM(B62:E62)</f>
        <v>0</v>
      </c>
      <c r="G62" s="5">
        <f>--(F62&gt;0)</f>
        <v>0</v>
      </c>
    </row>
    <row r="63" spans="1:7">
      <c r="A63" s="2" t="s">
        <v>145</v>
      </c>
      <c r="B63" s="5">
        <f>--(class_abundance!G63&gt;0)</f>
        <v>1</v>
      </c>
      <c r="C63" s="5">
        <f>--(class_abundance!H63&gt;0)</f>
        <v>0</v>
      </c>
      <c r="D63" s="5">
        <f>--(class_abundance!I63&gt;0)</f>
        <v>0</v>
      </c>
      <c r="E63" s="5">
        <f>--(class_abundance!J63&gt;0)</f>
        <v>0</v>
      </c>
      <c r="F63" s="5">
        <f>SUM(B63:E63)</f>
        <v>1</v>
      </c>
      <c r="G63" s="5">
        <f>--(F63&gt;0)</f>
        <v>1</v>
      </c>
    </row>
    <row r="64" spans="1:7">
      <c r="A64" s="2" t="s">
        <v>146</v>
      </c>
      <c r="B64" s="5">
        <f>--(class_abundance!G64&gt;0)</f>
        <v>0</v>
      </c>
      <c r="C64" s="5">
        <f>--(class_abundance!H64&gt;0)</f>
        <v>0</v>
      </c>
      <c r="D64" s="5">
        <f>--(class_abundance!I64&gt;0)</f>
        <v>1</v>
      </c>
      <c r="E64" s="5">
        <f>--(class_abundance!J64&gt;0)</f>
        <v>0</v>
      </c>
      <c r="F64" s="5">
        <f>SUM(B64:E64)</f>
        <v>1</v>
      </c>
      <c r="G64" s="5">
        <f>--(F64&gt;0)</f>
        <v>1</v>
      </c>
    </row>
    <row r="65" spans="1:7">
      <c r="A65" s="2" t="s">
        <v>149</v>
      </c>
      <c r="B65" s="5">
        <f>--(class_abundance!G65&gt;0)</f>
        <v>0</v>
      </c>
      <c r="C65" s="5">
        <f>--(class_abundance!H65&gt;0)</f>
        <v>0</v>
      </c>
      <c r="D65" s="5">
        <f>--(class_abundance!I65&gt;0)</f>
        <v>0</v>
      </c>
      <c r="E65" s="5">
        <f>--(class_abundance!J65&gt;0)</f>
        <v>0</v>
      </c>
      <c r="F65" s="5">
        <f>SUM(B65:E65)</f>
        <v>0</v>
      </c>
      <c r="G65" s="5">
        <f>--(F65&gt;0)</f>
        <v>0</v>
      </c>
    </row>
    <row r="66" spans="1:7">
      <c r="A66" s="2" t="s">
        <v>150</v>
      </c>
      <c r="B66" s="5">
        <f>--(class_abundance!G66&gt;0)</f>
        <v>0</v>
      </c>
      <c r="C66" s="5">
        <f>--(class_abundance!H66&gt;0)</f>
        <v>1</v>
      </c>
      <c r="D66" s="5">
        <f>--(class_abundance!I66&gt;0)</f>
        <v>0</v>
      </c>
      <c r="E66" s="5">
        <f>--(class_abundance!J66&gt;0)</f>
        <v>0</v>
      </c>
      <c r="F66" s="5">
        <f>SUM(B66:E66)</f>
        <v>1</v>
      </c>
      <c r="G66" s="5">
        <f>--(F66&gt;0)</f>
        <v>1</v>
      </c>
    </row>
    <row r="67" spans="1:7">
      <c r="A67" s="2" t="s">
        <v>154</v>
      </c>
      <c r="B67" s="5">
        <f>--(class_abundance!G67&gt;0)</f>
        <v>0</v>
      </c>
      <c r="C67" s="5">
        <f>--(class_abundance!H67&gt;0)</f>
        <v>1</v>
      </c>
      <c r="D67" s="5">
        <f>--(class_abundance!I67&gt;0)</f>
        <v>0</v>
      </c>
      <c r="E67" s="5">
        <f>--(class_abundance!J67&gt;0)</f>
        <v>1</v>
      </c>
      <c r="F67" s="5">
        <f>SUM(B67:E67)</f>
        <v>2</v>
      </c>
      <c r="G67" s="5">
        <f>--(F67&gt;0)</f>
        <v>1</v>
      </c>
    </row>
    <row r="68" spans="1:7">
      <c r="A68" s="2" t="s">
        <v>155</v>
      </c>
      <c r="B68" s="5">
        <f>--(class_abundance!G68&gt;0)</f>
        <v>0</v>
      </c>
      <c r="C68" s="5">
        <f>--(class_abundance!H68&gt;0)</f>
        <v>0</v>
      </c>
      <c r="D68" s="5">
        <f>--(class_abundance!I68&gt;0)</f>
        <v>0</v>
      </c>
      <c r="E68" s="5">
        <f>--(class_abundance!J68&gt;0)</f>
        <v>0</v>
      </c>
      <c r="F68" s="5">
        <f>SUM(B68:E68)</f>
        <v>0</v>
      </c>
      <c r="G68" s="5">
        <f>--(F68&gt;0)</f>
        <v>0</v>
      </c>
    </row>
    <row r="69" spans="1:7">
      <c r="A69" s="2" t="s">
        <v>158</v>
      </c>
      <c r="B69" s="5">
        <f>--(class_abundance!G69&gt;0)</f>
        <v>1</v>
      </c>
      <c r="C69" s="5">
        <f>--(class_abundance!H69&gt;0)</f>
        <v>0</v>
      </c>
      <c r="D69" s="5">
        <f>--(class_abundance!I69&gt;0)</f>
        <v>0</v>
      </c>
      <c r="E69" s="5">
        <f>--(class_abundance!J69&gt;0)</f>
        <v>0</v>
      </c>
      <c r="F69" s="5">
        <f>SUM(B69:E69)</f>
        <v>1</v>
      </c>
      <c r="G69" s="5">
        <f>--(F69&gt;0)</f>
        <v>1</v>
      </c>
    </row>
    <row r="70" spans="1:7">
      <c r="A70" s="2" t="s">
        <v>161</v>
      </c>
      <c r="B70" s="5">
        <f>--(class_abundance!G70&gt;0)</f>
        <v>0</v>
      </c>
      <c r="C70" s="5">
        <f>--(class_abundance!H70&gt;0)</f>
        <v>0</v>
      </c>
      <c r="D70" s="5">
        <f>--(class_abundance!I70&gt;0)</f>
        <v>0</v>
      </c>
      <c r="E70" s="5">
        <f>--(class_abundance!J70&gt;0)</f>
        <v>0</v>
      </c>
      <c r="F70" s="5">
        <f>SUM(B70:E70)</f>
        <v>0</v>
      </c>
      <c r="G70" s="5">
        <f>--(F70&gt;0)</f>
        <v>0</v>
      </c>
    </row>
    <row r="71" spans="1:7">
      <c r="A71" s="2" t="s">
        <v>162</v>
      </c>
      <c r="B71" s="5">
        <f>--(class_abundance!G71&gt;0)</f>
        <v>0</v>
      </c>
      <c r="C71" s="5">
        <f>--(class_abundance!H71&gt;0)</f>
        <v>0</v>
      </c>
      <c r="D71" s="5">
        <f>--(class_abundance!I71&gt;0)</f>
        <v>0</v>
      </c>
      <c r="E71" s="5">
        <f>--(class_abundance!J71&gt;0)</f>
        <v>0</v>
      </c>
      <c r="F71" s="5">
        <f>SUM(B71:E71)</f>
        <v>0</v>
      </c>
      <c r="G71" s="5">
        <f>--(F71&gt;0)</f>
        <v>0</v>
      </c>
    </row>
    <row r="72" spans="1:7">
      <c r="A72" s="2" t="s">
        <v>163</v>
      </c>
      <c r="B72" s="5">
        <f>--(class_abundance!G72&gt;0)</f>
        <v>0</v>
      </c>
      <c r="C72" s="5">
        <f>--(class_abundance!H72&gt;0)</f>
        <v>0</v>
      </c>
      <c r="D72" s="5">
        <f>--(class_abundance!I72&gt;0)</f>
        <v>0</v>
      </c>
      <c r="E72" s="5">
        <f>--(class_abundance!J72&gt;0)</f>
        <v>0</v>
      </c>
      <c r="F72" s="5">
        <f>SUM(B72:E72)</f>
        <v>0</v>
      </c>
      <c r="G72" s="5">
        <f>--(F72&gt;0)</f>
        <v>0</v>
      </c>
    </row>
    <row r="73" spans="1:7">
      <c r="A73" s="2" t="s">
        <v>167</v>
      </c>
      <c r="B73" s="5">
        <f>--(class_abundance!G73&gt;0)</f>
        <v>0</v>
      </c>
      <c r="C73" s="5">
        <f>--(class_abundance!H73&gt;0)</f>
        <v>0</v>
      </c>
      <c r="D73" s="5">
        <f>--(class_abundance!I73&gt;0)</f>
        <v>0</v>
      </c>
      <c r="E73" s="5">
        <f>--(class_abundance!J73&gt;0)</f>
        <v>0</v>
      </c>
      <c r="F73" s="5">
        <f>SUM(B73:E73)</f>
        <v>0</v>
      </c>
      <c r="G73" s="5">
        <f>--(F73&gt;0)</f>
        <v>0</v>
      </c>
    </row>
    <row r="74" spans="1:7">
      <c r="A74" s="2" t="s">
        <v>168</v>
      </c>
      <c r="B74" s="5">
        <f>--(class_abundance!G74&gt;0)</f>
        <v>1</v>
      </c>
      <c r="C74" s="5">
        <f>--(class_abundance!H74&gt;0)</f>
        <v>0</v>
      </c>
      <c r="D74" s="5">
        <f>--(class_abundance!I74&gt;0)</f>
        <v>0</v>
      </c>
      <c r="E74" s="5">
        <f>--(class_abundance!J74&gt;0)</f>
        <v>0</v>
      </c>
      <c r="F74" s="5">
        <f>SUM(B74:E74)</f>
        <v>1</v>
      </c>
      <c r="G74" s="5">
        <f>--(F74&gt;0)</f>
        <v>1</v>
      </c>
    </row>
    <row r="75" spans="1:7">
      <c r="A75" s="2" t="s">
        <v>173</v>
      </c>
      <c r="B75" s="5">
        <f>--(class_abundance!G75&gt;0)</f>
        <v>1</v>
      </c>
      <c r="C75" s="5">
        <f>--(class_abundance!H75&gt;0)</f>
        <v>0</v>
      </c>
      <c r="D75" s="5">
        <f>--(class_abundance!I75&gt;0)</f>
        <v>0</v>
      </c>
      <c r="E75" s="5">
        <f>--(class_abundance!J75&gt;0)</f>
        <v>0</v>
      </c>
      <c r="F75" s="5">
        <f>SUM(B75:E75)</f>
        <v>1</v>
      </c>
      <c r="G75" s="5">
        <f>--(F75&gt;0)</f>
        <v>1</v>
      </c>
    </row>
    <row r="76" spans="1:7">
      <c r="A76" s="2" t="s">
        <v>174</v>
      </c>
      <c r="B76" s="5">
        <f>--(class_abundance!G76&gt;0)</f>
        <v>1</v>
      </c>
      <c r="C76" s="5">
        <f>--(class_abundance!H76&gt;0)</f>
        <v>0</v>
      </c>
      <c r="D76" s="5">
        <f>--(class_abundance!I76&gt;0)</f>
        <v>0</v>
      </c>
      <c r="E76" s="5">
        <f>--(class_abundance!J76&gt;0)</f>
        <v>0</v>
      </c>
      <c r="F76" s="5">
        <f>SUM(B76:E76)</f>
        <v>1</v>
      </c>
      <c r="G76" s="5">
        <f>--(F76&gt;0)</f>
        <v>1</v>
      </c>
    </row>
    <row r="77" spans="1:7">
      <c r="A77" s="2" t="s">
        <v>175</v>
      </c>
      <c r="B77" s="5">
        <f>--(class_abundance!G77&gt;0)</f>
        <v>1</v>
      </c>
      <c r="C77" s="5">
        <f>--(class_abundance!H77&gt;0)</f>
        <v>0</v>
      </c>
      <c r="D77" s="5">
        <f>--(class_abundance!I77&gt;0)</f>
        <v>0</v>
      </c>
      <c r="E77" s="5">
        <f>--(class_abundance!J77&gt;0)</f>
        <v>0</v>
      </c>
      <c r="F77" s="5">
        <f>SUM(B77:E77)</f>
        <v>1</v>
      </c>
      <c r="G77" s="5">
        <f>--(F77&gt;0)</f>
        <v>1</v>
      </c>
    </row>
    <row r="78" spans="1:7">
      <c r="A78" s="2" t="s">
        <v>180</v>
      </c>
      <c r="B78" s="5">
        <f>--(class_abundance!G78&gt;0)</f>
        <v>1</v>
      </c>
      <c r="C78" s="5">
        <f>--(class_abundance!H78&gt;0)</f>
        <v>0</v>
      </c>
      <c r="D78" s="5">
        <f>--(class_abundance!I78&gt;0)</f>
        <v>0</v>
      </c>
      <c r="E78" s="5">
        <f>--(class_abundance!J78&gt;0)</f>
        <v>0</v>
      </c>
      <c r="F78" s="5">
        <f>SUM(B78:E78)</f>
        <v>1</v>
      </c>
      <c r="G78" s="5">
        <f>--(F78&gt;0)</f>
        <v>1</v>
      </c>
    </row>
    <row r="79" spans="1:7">
      <c r="A79" s="2" t="s">
        <v>181</v>
      </c>
      <c r="B79" s="5">
        <f>--(class_abundance!G79&gt;0)</f>
        <v>1</v>
      </c>
      <c r="C79" s="5">
        <f>--(class_abundance!H79&gt;0)</f>
        <v>0</v>
      </c>
      <c r="D79" s="5">
        <f>--(class_abundance!I79&gt;0)</f>
        <v>0</v>
      </c>
      <c r="E79" s="5">
        <f>--(class_abundance!J79&gt;0)</f>
        <v>0</v>
      </c>
      <c r="F79" s="5">
        <f>SUM(B79:E79)</f>
        <v>1</v>
      </c>
      <c r="G79" s="5">
        <f>--(F79&gt;0)</f>
        <v>1</v>
      </c>
    </row>
    <row r="80" spans="1:7">
      <c r="A80" s="2" t="s">
        <v>182</v>
      </c>
      <c r="B80" s="5">
        <f>--(class_abundance!G80&gt;0)</f>
        <v>0</v>
      </c>
      <c r="C80" s="5">
        <f>--(class_abundance!H80&gt;0)</f>
        <v>1</v>
      </c>
      <c r="D80" s="5">
        <f>--(class_abundance!I80&gt;0)</f>
        <v>0</v>
      </c>
      <c r="E80" s="5">
        <f>--(class_abundance!J80&gt;0)</f>
        <v>0</v>
      </c>
      <c r="F80" s="5">
        <f>SUM(B80:E80)</f>
        <v>1</v>
      </c>
      <c r="G80" s="5">
        <f>--(F80&gt;0)</f>
        <v>1</v>
      </c>
    </row>
    <row r="81" spans="1:7">
      <c r="A81" s="2" t="s">
        <v>187</v>
      </c>
      <c r="B81" s="5">
        <f>--(class_abundance!G81&gt;0)</f>
        <v>0</v>
      </c>
      <c r="C81" s="5">
        <f>--(class_abundance!H81&gt;0)</f>
        <v>0</v>
      </c>
      <c r="D81" s="5">
        <f>--(class_abundance!I81&gt;0)</f>
        <v>0</v>
      </c>
      <c r="E81" s="5">
        <f>--(class_abundance!J81&gt;0)</f>
        <v>1</v>
      </c>
      <c r="F81" s="5">
        <f>SUM(B81:E81)</f>
        <v>1</v>
      </c>
      <c r="G81" s="5">
        <f>--(F81&gt;0)</f>
        <v>1</v>
      </c>
    </row>
    <row r="82" spans="1:7">
      <c r="A82" s="2" t="s">
        <v>188</v>
      </c>
      <c r="B82" s="5">
        <f>--(class_abundance!G82&gt;0)</f>
        <v>0</v>
      </c>
      <c r="C82" s="5">
        <f>--(class_abundance!H82&gt;0)</f>
        <v>0</v>
      </c>
      <c r="D82" s="5">
        <f>--(class_abundance!I82&gt;0)</f>
        <v>0</v>
      </c>
      <c r="E82" s="5">
        <f>--(class_abundance!J82&gt;0)</f>
        <v>0</v>
      </c>
      <c r="F82" s="5">
        <f>SUM(B82:E82)</f>
        <v>0</v>
      </c>
      <c r="G82" s="5">
        <f>--(F82&gt;0)</f>
        <v>0</v>
      </c>
    </row>
    <row r="83" spans="1:7">
      <c r="A83" s="2" t="s">
        <v>189</v>
      </c>
      <c r="B83" s="5">
        <f>--(class_abundance!G83&gt;0)</f>
        <v>0</v>
      </c>
      <c r="C83" s="5">
        <f>--(class_abundance!H83&gt;0)</f>
        <v>0</v>
      </c>
      <c r="D83" s="5">
        <f>--(class_abundance!I83&gt;0)</f>
        <v>0</v>
      </c>
      <c r="E83" s="5">
        <f>--(class_abundance!J83&gt;0)</f>
        <v>0</v>
      </c>
      <c r="F83" s="5">
        <f>SUM(B83:E83)</f>
        <v>0</v>
      </c>
      <c r="G83" s="5">
        <f>--(F83&gt;0)</f>
        <v>0</v>
      </c>
    </row>
    <row r="84" spans="1:7">
      <c r="A84" s="2" t="s">
        <v>192</v>
      </c>
      <c r="B84" s="5">
        <f>--(class_abundance!G84&gt;0)</f>
        <v>0</v>
      </c>
      <c r="C84" s="5">
        <f>--(class_abundance!H84&gt;0)</f>
        <v>0</v>
      </c>
      <c r="D84" s="5">
        <f>--(class_abundance!I84&gt;0)</f>
        <v>0</v>
      </c>
      <c r="E84" s="5">
        <f>--(class_abundance!J84&gt;0)</f>
        <v>1</v>
      </c>
      <c r="F84" s="5">
        <f>SUM(B84:E84)</f>
        <v>1</v>
      </c>
      <c r="G84" s="5">
        <f>--(F84&gt;0)</f>
        <v>1</v>
      </c>
    </row>
    <row r="85" spans="1:7">
      <c r="A85" s="2" t="s">
        <v>197</v>
      </c>
      <c r="B85" s="5">
        <f>--(class_abundance!G85&gt;0)</f>
        <v>1</v>
      </c>
      <c r="C85" s="5">
        <f>--(class_abundance!H85&gt;0)</f>
        <v>0</v>
      </c>
      <c r="D85" s="5">
        <f>--(class_abundance!I85&gt;0)</f>
        <v>1</v>
      </c>
      <c r="E85" s="5">
        <f>--(class_abundance!J85&gt;0)</f>
        <v>1</v>
      </c>
      <c r="F85" s="5">
        <f>SUM(B85:E85)</f>
        <v>3</v>
      </c>
      <c r="G85" s="5">
        <f>--(F85&gt;0)</f>
        <v>1</v>
      </c>
    </row>
    <row r="86" spans="1:7">
      <c r="A86" s="2" t="s">
        <v>198</v>
      </c>
      <c r="B86" s="5">
        <f>--(class_abundance!G86&gt;0)</f>
        <v>1</v>
      </c>
      <c r="C86" s="5">
        <f>--(class_abundance!H86&gt;0)</f>
        <v>0</v>
      </c>
      <c r="D86" s="5">
        <f>--(class_abundance!I86&gt;0)</f>
        <v>1</v>
      </c>
      <c r="E86" s="5">
        <f>--(class_abundance!J86&gt;0)</f>
        <v>1</v>
      </c>
      <c r="F86" s="5">
        <f>SUM(B86:E86)</f>
        <v>3</v>
      </c>
      <c r="G86" s="5">
        <f>--(F86&gt;0)</f>
        <v>1</v>
      </c>
    </row>
    <row r="87" spans="1:7">
      <c r="A87" s="2" t="s">
        <v>199</v>
      </c>
      <c r="B87" s="5">
        <f>--(class_abundance!G87&gt;0)</f>
        <v>1</v>
      </c>
      <c r="C87" s="5">
        <f>--(class_abundance!H87&gt;0)</f>
        <v>0</v>
      </c>
      <c r="D87" s="5">
        <f>--(class_abundance!I87&gt;0)</f>
        <v>0</v>
      </c>
      <c r="E87" s="5">
        <f>--(class_abundance!J87&gt;0)</f>
        <v>0</v>
      </c>
      <c r="F87" s="5">
        <f>SUM(B87:E87)</f>
        <v>1</v>
      </c>
      <c r="G87" s="5">
        <f>--(F87&gt;0)</f>
        <v>1</v>
      </c>
    </row>
    <row r="88" spans="1:7">
      <c r="A88" s="2" t="s">
        <v>204</v>
      </c>
      <c r="B88" s="5">
        <f>--(class_abundance!G88&gt;0)</f>
        <v>0</v>
      </c>
      <c r="C88" s="5">
        <f>--(class_abundance!H88&gt;0)</f>
        <v>0</v>
      </c>
      <c r="D88" s="5">
        <f>--(class_abundance!I88&gt;0)</f>
        <v>1</v>
      </c>
      <c r="E88" s="5">
        <f>--(class_abundance!J88&gt;0)</f>
        <v>0</v>
      </c>
      <c r="F88" s="5">
        <f>SUM(B88:E88)</f>
        <v>1</v>
      </c>
      <c r="G88" s="5">
        <f>--(F88&gt;0)</f>
        <v>1</v>
      </c>
    </row>
    <row r="89" spans="1:7">
      <c r="A89" s="2" t="s">
        <v>207</v>
      </c>
      <c r="B89" s="5">
        <f>--(class_abundance!G89&gt;0)</f>
        <v>0</v>
      </c>
      <c r="C89" s="5">
        <f>--(class_abundance!H89&gt;0)</f>
        <v>0</v>
      </c>
      <c r="D89" s="5">
        <f>--(class_abundance!I89&gt;0)</f>
        <v>1</v>
      </c>
      <c r="E89" s="5">
        <f>--(class_abundance!J89&gt;0)</f>
        <v>0</v>
      </c>
      <c r="F89" s="5">
        <f>SUM(B89:E89)</f>
        <v>1</v>
      </c>
      <c r="G89" s="5">
        <f>--(F89&gt;0)</f>
        <v>1</v>
      </c>
    </row>
    <row r="90" spans="1:7">
      <c r="A90" s="2" t="s">
        <v>208</v>
      </c>
      <c r="B90" s="5">
        <f>--(class_abundance!G90&gt;0)</f>
        <v>0</v>
      </c>
      <c r="C90" s="5">
        <f>--(class_abundance!H90&gt;0)</f>
        <v>1</v>
      </c>
      <c r="D90" s="5">
        <f>--(class_abundance!I90&gt;0)</f>
        <v>0</v>
      </c>
      <c r="E90" s="5">
        <f>--(class_abundance!J90&gt;0)</f>
        <v>0</v>
      </c>
      <c r="F90" s="5">
        <f>SUM(B90:E90)</f>
        <v>1</v>
      </c>
      <c r="G90" s="5">
        <f>--(F90&gt;0)</f>
        <v>1</v>
      </c>
    </row>
    <row r="91" spans="1:7">
      <c r="A91" s="2" t="s">
        <v>213</v>
      </c>
      <c r="B91" s="5">
        <f>--(class_abundance!G91&gt;0)</f>
        <v>1</v>
      </c>
      <c r="C91" s="5">
        <f>--(class_abundance!H91&gt;0)</f>
        <v>0</v>
      </c>
      <c r="D91" s="5">
        <f>--(class_abundance!I91&gt;0)</f>
        <v>0</v>
      </c>
      <c r="E91" s="5">
        <f>--(class_abundance!J91&gt;0)</f>
        <v>0</v>
      </c>
      <c r="F91" s="5">
        <f>SUM(B91:E91)</f>
        <v>1</v>
      </c>
      <c r="G91" s="5">
        <f>--(F91&gt;0)</f>
        <v>1</v>
      </c>
    </row>
    <row r="92" spans="1:7">
      <c r="A92" s="2" t="s">
        <v>218</v>
      </c>
      <c r="B92" s="5">
        <f>--(class_abundance!G92&gt;0)</f>
        <v>0</v>
      </c>
      <c r="C92" s="5">
        <f>--(class_abundance!H92&gt;0)</f>
        <v>0</v>
      </c>
      <c r="D92" s="5">
        <f>--(class_abundance!I92&gt;0)</f>
        <v>0</v>
      </c>
      <c r="E92" s="5">
        <f>--(class_abundance!J92&gt;0)</f>
        <v>1</v>
      </c>
      <c r="F92" s="5">
        <f>SUM(B92:E92)</f>
        <v>1</v>
      </c>
      <c r="G92" s="5">
        <f>--(F92&gt;0)</f>
        <v>1</v>
      </c>
    </row>
    <row r="93" spans="1:7">
      <c r="A93" s="2" t="s">
        <v>219</v>
      </c>
      <c r="B93" s="5">
        <f>--(class_abundance!G93&gt;0)</f>
        <v>1</v>
      </c>
      <c r="C93" s="5">
        <f>--(class_abundance!H93&gt;0)</f>
        <v>0</v>
      </c>
      <c r="D93" s="5">
        <f>--(class_abundance!I93&gt;0)</f>
        <v>0</v>
      </c>
      <c r="E93" s="5">
        <f>--(class_abundance!J93&gt;0)</f>
        <v>1</v>
      </c>
      <c r="F93" s="5">
        <f>SUM(B93:E93)</f>
        <v>2</v>
      </c>
      <c r="G93" s="5">
        <f>--(F93&gt;0)</f>
        <v>1</v>
      </c>
    </row>
    <row r="94" spans="1:7">
      <c r="A94" s="2" t="s">
        <v>220</v>
      </c>
      <c r="B94" s="5">
        <f>--(class_abundance!G94&gt;0)</f>
        <v>1</v>
      </c>
      <c r="C94" s="5">
        <f>--(class_abundance!H94&gt;0)</f>
        <v>0</v>
      </c>
      <c r="D94" s="5">
        <f>--(class_abundance!I94&gt;0)</f>
        <v>0</v>
      </c>
      <c r="E94" s="5">
        <f>--(class_abundance!J94&gt;0)</f>
        <v>1</v>
      </c>
      <c r="F94" s="5">
        <f>SUM(B94:E94)</f>
        <v>2</v>
      </c>
      <c r="G94" s="5">
        <f>--(F94&gt;0)</f>
        <v>1</v>
      </c>
    </row>
    <row r="95" spans="1:7">
      <c r="A95" s="2" t="s">
        <v>224</v>
      </c>
      <c r="B95" s="5">
        <f>--(class_abundance!G95&gt;0)</f>
        <v>0</v>
      </c>
      <c r="C95" s="5">
        <f>--(class_abundance!H95&gt;0)</f>
        <v>0</v>
      </c>
      <c r="D95" s="5">
        <f>--(class_abundance!I95&gt;0)</f>
        <v>0</v>
      </c>
      <c r="E95" s="5">
        <f>--(class_abundance!J95&gt;0)</f>
        <v>1</v>
      </c>
      <c r="F95" s="5">
        <f>SUM(B95:E95)</f>
        <v>1</v>
      </c>
      <c r="G95" s="5">
        <f>--(F95&gt;0)</f>
        <v>1</v>
      </c>
    </row>
    <row r="96" spans="1:7">
      <c r="A96" s="2" t="s">
        <v>225</v>
      </c>
      <c r="B96" s="5">
        <f>--(class_abundance!G96&gt;0)</f>
        <v>0</v>
      </c>
      <c r="C96" s="5">
        <f>--(class_abundance!H96&gt;0)</f>
        <v>0</v>
      </c>
      <c r="D96" s="5">
        <f>--(class_abundance!I96&gt;0)</f>
        <v>0</v>
      </c>
      <c r="E96" s="5">
        <f>--(class_abundance!J96&gt;0)</f>
        <v>0</v>
      </c>
      <c r="F96" s="5">
        <f>SUM(B96:E96)</f>
        <v>0</v>
      </c>
      <c r="G96" s="5">
        <f>--(F96&gt;0)</f>
        <v>0</v>
      </c>
    </row>
    <row r="97" spans="1:7">
      <c r="A97" s="2" t="s">
        <v>226</v>
      </c>
      <c r="B97" s="5">
        <f>--(class_abundance!G97&gt;0)</f>
        <v>0</v>
      </c>
      <c r="C97" s="5">
        <f>--(class_abundance!H97&gt;0)</f>
        <v>0</v>
      </c>
      <c r="D97" s="5">
        <f>--(class_abundance!I97&gt;0)</f>
        <v>0</v>
      </c>
      <c r="E97" s="5">
        <f>--(class_abundance!J97&gt;0)</f>
        <v>0</v>
      </c>
      <c r="F97" s="5">
        <f>SUM(B97:E97)</f>
        <v>0</v>
      </c>
      <c r="G97" s="5">
        <f>--(F97&gt;0)</f>
        <v>0</v>
      </c>
    </row>
    <row r="98" spans="1:7">
      <c r="A98" s="2" t="s">
        <v>230</v>
      </c>
      <c r="B98" s="5">
        <f>--(class_abundance!G98&gt;0)</f>
        <v>1</v>
      </c>
      <c r="C98" s="5">
        <f>--(class_abundance!H98&gt;0)</f>
        <v>0</v>
      </c>
      <c r="D98" s="5">
        <f>--(class_abundance!I98&gt;0)</f>
        <v>1</v>
      </c>
      <c r="E98" s="5">
        <f>--(class_abundance!J98&gt;0)</f>
        <v>1</v>
      </c>
      <c r="F98" s="5">
        <f>SUM(B98:E98)</f>
        <v>3</v>
      </c>
      <c r="G98" s="5">
        <f>--(F98&gt;0)</f>
        <v>1</v>
      </c>
    </row>
    <row r="99" spans="1:7">
      <c r="A99" s="2" t="s">
        <v>235</v>
      </c>
      <c r="B99" s="5">
        <f>--(class_abundance!G99&gt;0)</f>
        <v>1</v>
      </c>
      <c r="C99" s="5">
        <f>--(class_abundance!H99&gt;0)</f>
        <v>0</v>
      </c>
      <c r="D99" s="5">
        <f>--(class_abundance!I99&gt;0)</f>
        <v>1</v>
      </c>
      <c r="E99" s="5">
        <f>--(class_abundance!J99&gt;0)</f>
        <v>0</v>
      </c>
      <c r="F99" s="5">
        <f>SUM(B99:E99)</f>
        <v>2</v>
      </c>
      <c r="G99" s="5">
        <f>--(F99&gt;0)</f>
        <v>1</v>
      </c>
    </row>
    <row r="100" spans="1:7">
      <c r="A100" s="2" t="s">
        <v>236</v>
      </c>
      <c r="B100" s="5">
        <f>--(class_abundance!G100&gt;0)</f>
        <v>0</v>
      </c>
      <c r="C100" s="5">
        <f>--(class_abundance!H100&gt;0)</f>
        <v>0</v>
      </c>
      <c r="D100" s="5">
        <f>--(class_abundance!I100&gt;0)</f>
        <v>0</v>
      </c>
      <c r="E100" s="5">
        <f>--(class_abundance!J100&gt;0)</f>
        <v>0</v>
      </c>
      <c r="F100" s="5">
        <f>SUM(B100:E100)</f>
        <v>0</v>
      </c>
      <c r="G100" s="5">
        <f>--(F100&gt;0)</f>
        <v>0</v>
      </c>
    </row>
    <row r="101" spans="1:7">
      <c r="A101" s="2" t="s">
        <v>237</v>
      </c>
      <c r="B101" s="5">
        <f>--(class_abundance!G101&gt;0)</f>
        <v>0</v>
      </c>
      <c r="C101" s="5">
        <f>--(class_abundance!H101&gt;0)</f>
        <v>0</v>
      </c>
      <c r="D101" s="5">
        <f>--(class_abundance!I101&gt;0)</f>
        <v>1</v>
      </c>
      <c r="E101" s="5">
        <f>--(class_abundance!J101&gt;0)</f>
        <v>0</v>
      </c>
      <c r="F101" s="5">
        <f>SUM(B101:E101)</f>
        <v>1</v>
      </c>
      <c r="G101" s="5">
        <f>--(F101&gt;0)</f>
        <v>1</v>
      </c>
    </row>
    <row r="102" spans="1:7">
      <c r="A102" s="2" t="s">
        <v>242</v>
      </c>
      <c r="B102" s="5">
        <f>--(class_abundance!G102&gt;0)</f>
        <v>0</v>
      </c>
      <c r="C102" s="5">
        <f>--(class_abundance!H102&gt;0)</f>
        <v>0</v>
      </c>
      <c r="D102" s="5">
        <f>--(class_abundance!I102&gt;0)</f>
        <v>0</v>
      </c>
      <c r="E102" s="5">
        <f>--(class_abundance!J102&gt;0)</f>
        <v>0</v>
      </c>
      <c r="F102" s="5">
        <f>SUM(B102:E102)</f>
        <v>0</v>
      </c>
      <c r="G102" s="5">
        <f>--(F102&gt;0)</f>
        <v>0</v>
      </c>
    </row>
    <row r="103" spans="1:7">
      <c r="A103" s="2" t="s">
        <v>243</v>
      </c>
      <c r="B103" s="5">
        <f>--(class_abundance!G103&gt;0)</f>
        <v>0</v>
      </c>
      <c r="C103" s="5">
        <f>--(class_abundance!H103&gt;0)</f>
        <v>0</v>
      </c>
      <c r="D103" s="5">
        <f>--(class_abundance!I103&gt;0)</f>
        <v>0</v>
      </c>
      <c r="E103" s="5">
        <f>--(class_abundance!J103&gt;0)</f>
        <v>0</v>
      </c>
      <c r="F103" s="5">
        <f>SUM(B103:E103)</f>
        <v>0</v>
      </c>
      <c r="G103" s="5">
        <f>--(F103&gt;0)</f>
        <v>0</v>
      </c>
    </row>
    <row r="104" spans="1:7">
      <c r="A104" s="2" t="s">
        <v>244</v>
      </c>
      <c r="B104" s="5">
        <f>--(class_abundance!G104&gt;0)</f>
        <v>1</v>
      </c>
      <c r="C104" s="5">
        <f>--(class_abundance!H104&gt;0)</f>
        <v>0</v>
      </c>
      <c r="D104" s="5">
        <f>--(class_abundance!I104&gt;0)</f>
        <v>1</v>
      </c>
      <c r="E104" s="5">
        <f>--(class_abundance!J104&gt;0)</f>
        <v>1</v>
      </c>
      <c r="F104" s="5">
        <f>SUM(B104:E104)</f>
        <v>3</v>
      </c>
      <c r="G104" s="5">
        <f>--(F104&gt;0)</f>
        <v>1</v>
      </c>
    </row>
    <row r="105" spans="1:7">
      <c r="A105" s="2" t="s">
        <v>249</v>
      </c>
      <c r="B105" s="5">
        <f>--(class_abundance!G105&gt;0)</f>
        <v>1</v>
      </c>
      <c r="C105" s="5">
        <f>--(class_abundance!H105&gt;0)</f>
        <v>0</v>
      </c>
      <c r="D105" s="5">
        <f>--(class_abundance!I105&gt;0)</f>
        <v>1</v>
      </c>
      <c r="E105" s="5">
        <f>--(class_abundance!J105&gt;0)</f>
        <v>1</v>
      </c>
      <c r="F105" s="5">
        <f>SUM(B105:E105)</f>
        <v>3</v>
      </c>
      <c r="G105" s="5">
        <f>--(F105&gt;0)</f>
        <v>1</v>
      </c>
    </row>
    <row r="106" spans="1:7">
      <c r="A106" s="2" t="s">
        <v>250</v>
      </c>
      <c r="B106" s="5">
        <f>--(class_abundance!G106&gt;0)</f>
        <v>0</v>
      </c>
      <c r="C106" s="5">
        <f>--(class_abundance!H106&gt;0)</f>
        <v>0</v>
      </c>
      <c r="D106" s="5">
        <f>--(class_abundance!I106&gt;0)</f>
        <v>1</v>
      </c>
      <c r="E106" s="5">
        <f>--(class_abundance!J106&gt;0)</f>
        <v>1</v>
      </c>
      <c r="F106" s="5">
        <f>SUM(B106:E106)</f>
        <v>2</v>
      </c>
      <c r="G106" s="5">
        <f>--(F106&gt;0)</f>
        <v>1</v>
      </c>
    </row>
    <row r="107" spans="1:7">
      <c r="A107" s="2" t="s">
        <v>251</v>
      </c>
      <c r="B107" s="5">
        <f>--(class_abundance!G107&gt;0)</f>
        <v>0</v>
      </c>
      <c r="C107" s="5">
        <f>--(class_abundance!H107&gt;0)</f>
        <v>1</v>
      </c>
      <c r="D107" s="5">
        <f>--(class_abundance!I107&gt;0)</f>
        <v>1</v>
      </c>
      <c r="E107" s="5">
        <f>--(class_abundance!J107&gt;0)</f>
        <v>0</v>
      </c>
      <c r="F107" s="5">
        <f>SUM(B107:E107)</f>
        <v>2</v>
      </c>
      <c r="G107" s="5">
        <f>--(F107&gt;0)</f>
        <v>1</v>
      </c>
    </row>
    <row r="108" spans="1:7">
      <c r="A108" s="2" t="s">
        <v>255</v>
      </c>
      <c r="B108" s="5">
        <f>--(class_abundance!G108&gt;0)</f>
        <v>0</v>
      </c>
      <c r="C108" s="5">
        <f>--(class_abundance!H108&gt;0)</f>
        <v>0</v>
      </c>
      <c r="D108" s="5">
        <f>--(class_abundance!I108&gt;0)</f>
        <v>0</v>
      </c>
      <c r="E108" s="5">
        <f>--(class_abundance!J108&gt;0)</f>
        <v>0</v>
      </c>
      <c r="F108" s="5">
        <f>SUM(B108:E108)</f>
        <v>0</v>
      </c>
      <c r="G108" s="5">
        <f>--(F108&gt;0)</f>
        <v>0</v>
      </c>
    </row>
    <row r="109" spans="1:7">
      <c r="A109" s="2" t="s">
        <v>256</v>
      </c>
      <c r="B109" s="5">
        <f>--(class_abundance!G109&gt;0)</f>
        <v>1</v>
      </c>
      <c r="C109" s="5">
        <f>--(class_abundance!H109&gt;0)</f>
        <v>0</v>
      </c>
      <c r="D109" s="5">
        <f>--(class_abundance!I109&gt;0)</f>
        <v>1</v>
      </c>
      <c r="E109" s="5">
        <f>--(class_abundance!J109&gt;0)</f>
        <v>0</v>
      </c>
      <c r="F109" s="5">
        <f>SUM(B109:E109)</f>
        <v>2</v>
      </c>
      <c r="G109" s="5">
        <f>--(F109&gt;0)</f>
        <v>1</v>
      </c>
    </row>
    <row r="110" spans="1:7">
      <c r="A110" s="2" t="s">
        <v>257</v>
      </c>
      <c r="B110" s="5">
        <f>--(class_abundance!G110&gt;0)</f>
        <v>1</v>
      </c>
      <c r="C110" s="5">
        <f>--(class_abundance!H110&gt;0)</f>
        <v>0</v>
      </c>
      <c r="D110" s="5">
        <f>--(class_abundance!I110&gt;0)</f>
        <v>0</v>
      </c>
      <c r="E110" s="5">
        <f>--(class_abundance!J110&gt;0)</f>
        <v>0</v>
      </c>
      <c r="F110" s="5">
        <f>SUM(B110:E110)</f>
        <v>1</v>
      </c>
      <c r="G110" s="5">
        <f>--(F110&gt;0)</f>
        <v>1</v>
      </c>
    </row>
    <row r="111" spans="1:7">
      <c r="A111" s="2" t="s">
        <v>263</v>
      </c>
      <c r="B111" s="5">
        <f>--(class_abundance!G111&gt;0)</f>
        <v>0</v>
      </c>
      <c r="C111" s="5">
        <f>--(class_abundance!H111&gt;0)</f>
        <v>0</v>
      </c>
      <c r="D111" s="5">
        <f>--(class_abundance!I111&gt;0)</f>
        <v>0</v>
      </c>
      <c r="E111" s="5">
        <f>--(class_abundance!J111&gt;0)</f>
        <v>0</v>
      </c>
      <c r="F111" s="5">
        <f>SUM(B111:E111)</f>
        <v>0</v>
      </c>
      <c r="G111" s="5">
        <f>--(F111&gt;0)</f>
        <v>0</v>
      </c>
    </row>
    <row r="112" spans="1:7">
      <c r="A112" s="2" t="s">
        <v>268</v>
      </c>
      <c r="B112" s="5">
        <f>--(class_abundance!G112&gt;0)</f>
        <v>1</v>
      </c>
      <c r="C112" s="5">
        <f>--(class_abundance!H112&gt;0)</f>
        <v>0</v>
      </c>
      <c r="D112" s="5">
        <f>--(class_abundance!I112&gt;0)</f>
        <v>0</v>
      </c>
      <c r="E112" s="5">
        <f>--(class_abundance!J112&gt;0)</f>
        <v>0</v>
      </c>
      <c r="F112" s="5">
        <f>SUM(B112:E112)</f>
        <v>1</v>
      </c>
      <c r="G112" s="5">
        <f>--(F112&gt;0)</f>
        <v>1</v>
      </c>
    </row>
    <row r="113" spans="1:7">
      <c r="A113" s="2" t="s">
        <v>269</v>
      </c>
      <c r="B113" s="5">
        <f>--(class_abundance!G113&gt;0)</f>
        <v>0</v>
      </c>
      <c r="C113" s="5">
        <f>--(class_abundance!H113&gt;0)</f>
        <v>0</v>
      </c>
      <c r="D113" s="5">
        <f>--(class_abundance!I113&gt;0)</f>
        <v>0</v>
      </c>
      <c r="E113" s="5">
        <f>--(class_abundance!J113&gt;0)</f>
        <v>0</v>
      </c>
      <c r="F113" s="5">
        <f>SUM(B113:E113)</f>
        <v>0</v>
      </c>
      <c r="G113" s="5">
        <f>--(F113&gt;0)</f>
        <v>0</v>
      </c>
    </row>
  </sheetData>
  <autoFilter ref="A1:G11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6.7109375" customWidth="1"/>
    <col min="5" max="5" width="54.7109375" customWidth="1"/>
    <col min="6" max="6" width="14.7109375" customWidth="1"/>
    <col min="7" max="8" width="22.7109375" customWidth="1"/>
    <col min="9" max="10" width="16.7109375" customWidth="1"/>
  </cols>
  <sheetData>
    <row r="1" spans="1:10">
      <c r="A1" s="1" t="s">
        <v>18</v>
      </c>
      <c r="B1" s="1" t="s">
        <v>19</v>
      </c>
      <c r="C1" s="1" t="s">
        <v>20</v>
      </c>
      <c r="D1" s="1" t="s">
        <v>21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  <row r="2" spans="1:10">
      <c r="A2" s="2">
        <v>0</v>
      </c>
      <c r="B2" s="2">
        <v>0</v>
      </c>
      <c r="C2" s="2">
        <v>0</v>
      </c>
      <c r="D2" s="2">
        <v>1</v>
      </c>
      <c r="E2" s="2" t="s">
        <v>21</v>
      </c>
      <c r="F2" s="5">
        <f>COUNTIFS(class_status!$B$2:$B$113,A2,class_status!$C$2:$C$113,B2,class_status!$D$2:$D$113,C2,class_status!$E$2:$E$113,D2)</f>
        <v>12</v>
      </c>
      <c r="G2" s="6">
        <f>F2/72</f>
        <v>0.16666666666666666</v>
      </c>
      <c r="H2" s="6">
        <f>F2/112</f>
        <v>0.10714285714285714</v>
      </c>
      <c r="I2" s="5">
        <v>12</v>
      </c>
      <c r="J2" s="2" t="s">
        <v>278</v>
      </c>
    </row>
    <row r="3" spans="1:10">
      <c r="A3" s="2">
        <v>0</v>
      </c>
      <c r="B3" s="2">
        <v>0</v>
      </c>
      <c r="C3" s="2">
        <v>1</v>
      </c>
      <c r="D3" s="2">
        <v>0</v>
      </c>
      <c r="E3" s="2" t="s">
        <v>20</v>
      </c>
      <c r="F3" s="5">
        <f>COUNTIFS(class_status!$B$2:$B$113,A3,class_status!$C$2:$C$113,B3,class_status!$D$2:$D$113,C3,class_status!$E$2:$E$113,D3)</f>
        <v>11</v>
      </c>
      <c r="G3" s="6">
        <f>F3/72</f>
        <v>0.1527777777777778</v>
      </c>
      <c r="H3" s="6">
        <f>F3/112</f>
        <v>0.09821428571428571</v>
      </c>
      <c r="I3" s="5">
        <v>11</v>
      </c>
      <c r="J3" s="2" t="s">
        <v>278</v>
      </c>
    </row>
    <row r="4" spans="1:10">
      <c r="A4" s="2">
        <v>0</v>
      </c>
      <c r="B4" s="2">
        <v>0</v>
      </c>
      <c r="C4" s="2">
        <v>1</v>
      </c>
      <c r="D4" s="2">
        <v>1</v>
      </c>
      <c r="E4" s="2" t="s">
        <v>279</v>
      </c>
      <c r="F4" s="5">
        <f>COUNTIFS(class_status!$B$2:$B$113,A4,class_status!$C$2:$C$113,B4,class_status!$D$2:$D$113,C4,class_status!$E$2:$E$113,D4)</f>
        <v>3</v>
      </c>
      <c r="G4" s="6">
        <f>F4/72</f>
        <v>0.041666666666666664</v>
      </c>
      <c r="H4" s="6">
        <f>F4/112</f>
        <v>0.026785714285714284</v>
      </c>
      <c r="I4" s="5">
        <v>3</v>
      </c>
      <c r="J4" s="2" t="s">
        <v>278</v>
      </c>
    </row>
    <row r="5" spans="1:10">
      <c r="A5" s="2">
        <v>0</v>
      </c>
      <c r="B5" s="2">
        <v>1</v>
      </c>
      <c r="C5" s="2">
        <v>0</v>
      </c>
      <c r="D5" s="2">
        <v>0</v>
      </c>
      <c r="E5" s="2" t="s">
        <v>19</v>
      </c>
      <c r="F5" s="5">
        <f>COUNTIFS(class_status!$B$2:$B$113,A5,class_status!$C$2:$C$113,B5,class_status!$D$2:$D$113,C5,class_status!$E$2:$E$113,D5)</f>
        <v>3</v>
      </c>
      <c r="G5" s="6">
        <f>F5/72</f>
        <v>0.041666666666666664</v>
      </c>
      <c r="H5" s="6">
        <f>F5/112</f>
        <v>0.026785714285714284</v>
      </c>
      <c r="I5" s="5">
        <v>3</v>
      </c>
      <c r="J5" s="2" t="s">
        <v>278</v>
      </c>
    </row>
    <row r="6" spans="1:10">
      <c r="A6" s="2">
        <v>0</v>
      </c>
      <c r="B6" s="2">
        <v>1</v>
      </c>
      <c r="C6" s="2">
        <v>0</v>
      </c>
      <c r="D6" s="2">
        <v>1</v>
      </c>
      <c r="E6" s="2" t="s">
        <v>280</v>
      </c>
      <c r="F6" s="5">
        <f>COUNTIFS(class_status!$B$2:$B$113,A6,class_status!$C$2:$C$113,B6,class_status!$D$2:$D$113,C6,class_status!$E$2:$E$113,D6)</f>
        <v>1</v>
      </c>
      <c r="G6" s="6">
        <f>F6/72</f>
        <v>0.013888888888888888</v>
      </c>
      <c r="H6" s="6">
        <f>F6/112</f>
        <v>0.008928571428571428</v>
      </c>
      <c r="I6" s="5">
        <v>1</v>
      </c>
      <c r="J6" s="2" t="s">
        <v>278</v>
      </c>
    </row>
    <row r="7" spans="1:10">
      <c r="A7" s="2">
        <v>0</v>
      </c>
      <c r="B7" s="2">
        <v>1</v>
      </c>
      <c r="C7" s="2">
        <v>1</v>
      </c>
      <c r="D7" s="2">
        <v>0</v>
      </c>
      <c r="E7" s="2" t="s">
        <v>281</v>
      </c>
      <c r="F7" s="5">
        <f>COUNTIFS(class_status!$B$2:$B$113,A7,class_status!$C$2:$C$113,B7,class_status!$D$2:$D$113,C7,class_status!$E$2:$E$113,D7)</f>
        <v>1</v>
      </c>
      <c r="G7" s="6">
        <f>F7/72</f>
        <v>0.013888888888888888</v>
      </c>
      <c r="H7" s="6">
        <f>F7/112</f>
        <v>0.008928571428571428</v>
      </c>
      <c r="I7" s="5">
        <v>1</v>
      </c>
      <c r="J7" s="2" t="s">
        <v>278</v>
      </c>
    </row>
    <row r="8" spans="1:10">
      <c r="A8" s="2">
        <v>0</v>
      </c>
      <c r="B8" s="2">
        <v>1</v>
      </c>
      <c r="C8" s="2">
        <v>1</v>
      </c>
      <c r="D8" s="2">
        <v>1</v>
      </c>
      <c r="E8" s="2" t="s">
        <v>282</v>
      </c>
      <c r="F8" s="5">
        <f>COUNTIFS(class_status!$B$2:$B$113,A8,class_status!$C$2:$C$113,B8,class_status!$D$2:$D$113,C8,class_status!$E$2:$E$113,D8)</f>
        <v>0</v>
      </c>
      <c r="G8" s="6">
        <f>F8/72</f>
        <v>0.0</v>
      </c>
      <c r="H8" s="6">
        <f>F8/112</f>
        <v>0.0</v>
      </c>
      <c r="I8" s="5">
        <v>0</v>
      </c>
      <c r="J8" s="2" t="s">
        <v>278</v>
      </c>
    </row>
    <row r="9" spans="1:10">
      <c r="A9" s="2">
        <v>1</v>
      </c>
      <c r="B9" s="2">
        <v>0</v>
      </c>
      <c r="C9" s="2">
        <v>0</v>
      </c>
      <c r="D9" s="2">
        <v>0</v>
      </c>
      <c r="E9" s="2" t="s">
        <v>18</v>
      </c>
      <c r="F9" s="5">
        <f>COUNTIFS(class_status!$B$2:$B$113,A9,class_status!$C$2:$C$113,B9,class_status!$D$2:$D$113,C9,class_status!$E$2:$E$113,D9)</f>
        <v>23</v>
      </c>
      <c r="G9" s="6">
        <f>F9/72</f>
        <v>0.3194444444444444</v>
      </c>
      <c r="H9" s="6">
        <f>F9/112</f>
        <v>0.20535714285714285</v>
      </c>
      <c r="I9" s="5">
        <v>23</v>
      </c>
      <c r="J9" s="2" t="s">
        <v>278</v>
      </c>
    </row>
    <row r="10" spans="1:10">
      <c r="A10" s="2">
        <v>1</v>
      </c>
      <c r="B10" s="2">
        <v>0</v>
      </c>
      <c r="C10" s="2">
        <v>0</v>
      </c>
      <c r="D10" s="2">
        <v>1</v>
      </c>
      <c r="E10" s="2" t="s">
        <v>283</v>
      </c>
      <c r="F10" s="5">
        <f>COUNTIFS(class_status!$B$2:$B$113,A10,class_status!$C$2:$C$113,B10,class_status!$D$2:$D$113,C10,class_status!$E$2:$E$113,D10)</f>
        <v>7</v>
      </c>
      <c r="G10" s="6">
        <f>F10/72</f>
        <v>0.09722222222222222</v>
      </c>
      <c r="H10" s="6">
        <f>F10/112</f>
        <v>0.0625</v>
      </c>
      <c r="I10" s="5">
        <v>7</v>
      </c>
      <c r="J10" s="2" t="s">
        <v>278</v>
      </c>
    </row>
    <row r="11" spans="1:10">
      <c r="A11" s="2">
        <v>1</v>
      </c>
      <c r="B11" s="2">
        <v>0</v>
      </c>
      <c r="C11" s="2">
        <v>1</v>
      </c>
      <c r="D11" s="2">
        <v>0</v>
      </c>
      <c r="E11" s="2" t="s">
        <v>284</v>
      </c>
      <c r="F11" s="5">
        <f>COUNTIFS(class_status!$B$2:$B$113,A11,class_status!$C$2:$C$113,B11,class_status!$D$2:$D$113,C11,class_status!$E$2:$E$113,D11)</f>
        <v>2</v>
      </c>
      <c r="G11" s="6">
        <f>F11/72</f>
        <v>0.027777777777777776</v>
      </c>
      <c r="H11" s="6">
        <f>F11/112</f>
        <v>0.017857142857142856</v>
      </c>
      <c r="I11" s="5">
        <v>2</v>
      </c>
      <c r="J11" s="2" t="s">
        <v>278</v>
      </c>
    </row>
    <row r="12" spans="1:10">
      <c r="A12" s="2">
        <v>1</v>
      </c>
      <c r="B12" s="2">
        <v>0</v>
      </c>
      <c r="C12" s="2">
        <v>1</v>
      </c>
      <c r="D12" s="2">
        <v>1</v>
      </c>
      <c r="E12" s="2" t="s">
        <v>285</v>
      </c>
      <c r="F12" s="5">
        <f>COUNTIFS(class_status!$B$2:$B$113,A12,class_status!$C$2:$C$113,B12,class_status!$D$2:$D$113,C12,class_status!$E$2:$E$113,D12)</f>
        <v>6</v>
      </c>
      <c r="G12" s="6">
        <f>F12/72</f>
        <v>0.08333333333333333</v>
      </c>
      <c r="H12" s="6">
        <f>F12/112</f>
        <v>0.05357142857142857</v>
      </c>
      <c r="I12" s="5">
        <v>6</v>
      </c>
      <c r="J12" s="2" t="s">
        <v>278</v>
      </c>
    </row>
    <row r="13" spans="1:10">
      <c r="A13" s="2">
        <v>1</v>
      </c>
      <c r="B13" s="2">
        <v>1</v>
      </c>
      <c r="C13" s="2">
        <v>0</v>
      </c>
      <c r="D13" s="2">
        <v>0</v>
      </c>
      <c r="E13" s="2" t="s">
        <v>286</v>
      </c>
      <c r="F13" s="5">
        <f>COUNTIFS(class_status!$B$2:$B$113,A13,class_status!$C$2:$C$113,B13,class_status!$D$2:$D$113,C13,class_status!$E$2:$E$113,D13)</f>
        <v>1</v>
      </c>
      <c r="G13" s="6">
        <f>F13/72</f>
        <v>0.013888888888888888</v>
      </c>
      <c r="H13" s="6">
        <f>F13/112</f>
        <v>0.008928571428571428</v>
      </c>
      <c r="I13" s="5">
        <v>1</v>
      </c>
      <c r="J13" s="2" t="s">
        <v>278</v>
      </c>
    </row>
    <row r="14" spans="1:10">
      <c r="A14" s="2">
        <v>1</v>
      </c>
      <c r="B14" s="2">
        <v>1</v>
      </c>
      <c r="C14" s="2">
        <v>0</v>
      </c>
      <c r="D14" s="2">
        <v>1</v>
      </c>
      <c r="E14" s="2" t="s">
        <v>287</v>
      </c>
      <c r="F14" s="5">
        <f>COUNTIFS(class_status!$B$2:$B$113,A14,class_status!$C$2:$C$113,B14,class_status!$D$2:$D$113,C14,class_status!$E$2:$E$113,D14)</f>
        <v>2</v>
      </c>
      <c r="G14" s="6">
        <f>F14/72</f>
        <v>0.027777777777777776</v>
      </c>
      <c r="H14" s="6">
        <f>F14/112</f>
        <v>0.017857142857142856</v>
      </c>
      <c r="I14" s="5">
        <v>2</v>
      </c>
      <c r="J14" s="2" t="s">
        <v>278</v>
      </c>
    </row>
    <row r="15" spans="1:10">
      <c r="A15" s="2">
        <v>1</v>
      </c>
      <c r="B15" s="2">
        <v>1</v>
      </c>
      <c r="C15" s="2">
        <v>1</v>
      </c>
      <c r="D15" s="2">
        <v>0</v>
      </c>
      <c r="E15" s="2" t="s">
        <v>288</v>
      </c>
      <c r="F15" s="5">
        <f>COUNTIFS(class_status!$B$2:$B$113,A15,class_status!$C$2:$C$113,B15,class_status!$D$2:$D$113,C15,class_status!$E$2:$E$113,D15)</f>
        <v>0</v>
      </c>
      <c r="G15" s="6">
        <f>F15/72</f>
        <v>0.0</v>
      </c>
      <c r="H15" s="6">
        <f>F15/112</f>
        <v>0.0</v>
      </c>
      <c r="I15" s="5">
        <v>0</v>
      </c>
      <c r="J15" s="2" t="s">
        <v>278</v>
      </c>
    </row>
    <row r="16" spans="1:10">
      <c r="A16" s="2">
        <v>1</v>
      </c>
      <c r="B16" s="2">
        <v>1</v>
      </c>
      <c r="C16" s="2">
        <v>1</v>
      </c>
      <c r="D16" s="2">
        <v>1</v>
      </c>
      <c r="E16" s="2" t="s">
        <v>289</v>
      </c>
      <c r="F16" s="5">
        <f>COUNTIFS(class_status!$B$2:$B$113,A16,class_status!$C$2:$C$113,B16,class_status!$D$2:$D$113,C16,class_status!$E$2:$E$113,D16)</f>
        <v>0</v>
      </c>
      <c r="G16" s="6">
        <f>F16/72</f>
        <v>0.0</v>
      </c>
      <c r="H16" s="6">
        <f>F16/112</f>
        <v>0.0</v>
      </c>
      <c r="I16" s="5">
        <v>0</v>
      </c>
      <c r="J16" s="2" t="s">
        <v>278</v>
      </c>
    </row>
  </sheetData>
  <autoFilter ref="A1:J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4" width="22.7109375" customWidth="1"/>
  </cols>
  <sheetData>
    <row r="1" spans="1:4">
      <c r="A1" s="1" t="s">
        <v>290</v>
      </c>
      <c r="B1" s="1" t="s">
        <v>291</v>
      </c>
      <c r="C1" s="1" t="s">
        <v>274</v>
      </c>
      <c r="D1" s="1" t="s">
        <v>275</v>
      </c>
    </row>
    <row r="2" spans="1:4">
      <c r="A2" s="2" t="s">
        <v>18</v>
      </c>
      <c r="B2" s="5">
        <f>SUM(class_status!B$2:B$113)</f>
        <v>41</v>
      </c>
      <c r="C2" s="6">
        <f>B2/72</f>
        <v>0.5694444444444444</v>
      </c>
      <c r="D2" s="6">
        <f>B2/112</f>
        <v>0.36607142857142855</v>
      </c>
    </row>
    <row r="3" spans="1:4">
      <c r="A3" s="2" t="s">
        <v>19</v>
      </c>
      <c r="B3" s="5">
        <f>SUM(class_status!C$2:C$113)</f>
        <v>8</v>
      </c>
      <c r="C3" s="6">
        <f>B3/72</f>
        <v>0.1111111111111111</v>
      </c>
      <c r="D3" s="6">
        <f>B3/112</f>
        <v>0.07142857142857142</v>
      </c>
    </row>
    <row r="4" spans="1:4">
      <c r="A4" s="2" t="s">
        <v>20</v>
      </c>
      <c r="B4" s="5">
        <f>SUM(class_status!D$2:D$113)</f>
        <v>23</v>
      </c>
      <c r="C4" s="6">
        <f>B4/72</f>
        <v>0.3194444444444444</v>
      </c>
      <c r="D4" s="6">
        <f>B4/112</f>
        <v>0.20535714285714285</v>
      </c>
    </row>
    <row r="5" spans="1:4">
      <c r="A5" s="2" t="s">
        <v>21</v>
      </c>
      <c r="B5" s="5">
        <f>SUM(class_status!E$2:E$113)</f>
        <v>31</v>
      </c>
      <c r="C5" s="6">
        <f>B5/72</f>
        <v>0.4305555555555556</v>
      </c>
      <c r="D5" s="6">
        <f>B5/112</f>
        <v>0.2767857142857143</v>
      </c>
    </row>
  </sheetData>
  <autoFilter ref="A1:D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class_abundance</vt:lpstr>
      <vt:lpstr>class_status</vt:lpstr>
      <vt:lpstr>venn_regions</vt:lpstr>
      <vt:lpstr>set_totals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2026-08-14T14:55:11Z</dcterms:created>
  <dcterms:modified xsi:type="dcterms:W3CDTF">2026-08-14T14:55:11Z</dcterms:modified>
</cp:coreProperties>
</file>